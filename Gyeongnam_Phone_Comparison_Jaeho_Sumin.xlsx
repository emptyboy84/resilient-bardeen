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이재호_이수민_2개파일비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행번호</t>
        </is>
      </c>
      <c r="B1" t="inlineStr">
        <is>
          <t>회사명</t>
        </is>
      </c>
      <c r="C1" t="inlineStr">
        <is>
          <t>대표자</t>
        </is>
      </c>
      <c r="D1" t="inlineStr">
        <is>
          <t>주소</t>
        </is>
      </c>
      <c r="E1" t="inlineStr">
        <is>
          <t>이재호 파일 번호</t>
        </is>
      </c>
      <c r="F1" t="inlineStr">
        <is>
          <t>이수민 파일 번호</t>
        </is>
      </c>
      <c r="G1" t="inlineStr">
        <is>
          <t>두 파일 대조 최종 전화번호</t>
        </is>
      </c>
      <c r="H1" t="inlineStr">
        <is>
          <t>비즈노 출처 링크</t>
        </is>
      </c>
      <c r="I1" t="inlineStr">
        <is>
          <t>네이버 지도 출처 링크</t>
        </is>
      </c>
      <c r="J1" t="inlineStr">
        <is>
          <t>구글 검색 링크</t>
        </is>
      </c>
    </row>
    <row r="2">
      <c r="A2" t="n">
        <v>330</v>
      </c>
      <c r="B2" t="inlineStr">
        <is>
          <t>(주)희성푸드</t>
        </is>
      </c>
      <c r="C2" t="inlineStr">
        <is>
          <t>김민성</t>
        </is>
      </c>
      <c r="D2" t="inlineStr">
        <is>
          <t>경남 김해시 진례면 서부로396번길 54</t>
        </is>
      </c>
      <c r="E2" t="inlineStr">
        <is>
          <t>010-5746-5598, 055-346-3641, 055-342-8286, 055-281-7450</t>
        </is>
      </c>
      <c r="F2" t="inlineStr">
        <is>
          <t>010-5746-5598, 055-346-3641, 055-281-7450, 055-342-8286</t>
        </is>
      </c>
      <c r="G2" t="inlineStr">
        <is>
          <t>010-5746-5598, 055-346-3641</t>
        </is>
      </c>
      <c r="H2">
        <f>HYPERLINK("https://bizno.net/search?q=%ED%9D%AC%EC%84%B1%ED%91%B8%EB%93%9C", "비즈노 이동")</f>
        <v/>
      </c>
      <c r="I2">
        <f>HYPERLINK("https://map.naver.com/p/search/%ED%9D%AC%EC%84%B1%ED%91%B8%EB%93%9C%20%EA%B2%BD%EB%82%A8%20%EA%B9%80%ED%95%B4%EC%8B%9C%20%EC%A7%84%EB%A1%80%EB%A9%B4", "네이버지도 이동")</f>
        <v/>
      </c>
      <c r="J2">
        <f>HYPERLINK("https://www.google.com/search?q=%ED%9D%AC%EC%84%B1%ED%91%B8%EB%93%9C%20%EA%B2%BD%EB%82%A8%20%EA%B9%80%ED%95%B4%EC%8B%9C%20%EC%A7%84%EB%A1%80%EB%A9%B4+%EC%A0%84%ED%99%94%EB%B2%88%ED%98%B8", "구글검색 이동")</f>
        <v/>
      </c>
    </row>
    <row r="3">
      <c r="A3" t="n">
        <v>331</v>
      </c>
      <c r="B3" t="inlineStr">
        <is>
          <t>가야당(주)</t>
        </is>
      </c>
      <c r="C3" t="inlineStr">
        <is>
          <t>장윤정</t>
        </is>
      </c>
      <c r="D3" t="inlineStr">
        <is>
          <t>경남 김해시 주촌면 골든루트로 80-16</t>
        </is>
      </c>
      <c r="E3" t="inlineStr">
        <is>
          <t>055-327-3585, 055-328-3585</t>
        </is>
      </c>
      <c r="F3" t="inlineStr">
        <is>
          <t>055-327-3585, 055-328-3585</t>
        </is>
      </c>
      <c r="G3" t="inlineStr">
        <is>
          <t>055-327-3585, 055-328-3585</t>
        </is>
      </c>
      <c r="H3">
        <f>HYPERLINK("https://bizno.net/search?q=%EA%B0%80%EC%95%BC%EB%8B%B9", "비즈노 이동")</f>
        <v/>
      </c>
      <c r="I3">
        <f>HYPERLINK("https://map.naver.com/p/search/%EA%B0%80%EC%95%BC%EB%8B%B9%20%EA%B2%BD%EB%82%A8%20%EA%B9%80%ED%95%B4%EC%8B%9C%20%EC%A3%BC%EC%B4%8C%EB%A9%B4", "네이버지도 이동")</f>
        <v/>
      </c>
      <c r="J3">
        <f>HYPERLINK("https://www.google.com/search?q=%EA%B0%80%EC%95%BC%EB%8B%B9%20%EA%B2%BD%EB%82%A8%20%EA%B9%80%ED%95%B4%EC%8B%9C%20%EC%A3%BC%EC%B4%8C%EB%A9%B4+%EC%A0%84%ED%99%94%EB%B2%88%ED%98%B8", "구글검색 이동")</f>
        <v/>
      </c>
    </row>
    <row r="4">
      <c r="A4" t="n">
        <v>332</v>
      </c>
      <c r="B4" t="inlineStr">
        <is>
          <t>강성테크</t>
        </is>
      </c>
      <c r="C4" t="inlineStr">
        <is>
          <t>이규철</t>
        </is>
      </c>
      <c r="D4" t="inlineStr">
        <is>
          <t>경남 양산시 소주공단5길 3</t>
        </is>
      </c>
      <c r="E4" t="inlineStr">
        <is>
          <t>055-389-6200, 055-386-0622</t>
        </is>
      </c>
      <c r="F4" t="inlineStr">
        <is>
          <t>055-389-6200, 055-386-0622</t>
        </is>
      </c>
      <c r="G4" t="inlineStr">
        <is>
          <t>055-389-6200, 055-386-0622</t>
        </is>
      </c>
      <c r="H4">
        <f>HYPERLINK("https://bizno.net/search?q=%EA%B0%95%EC%84%B1%ED%85%8C%ED%81%AC", "비즈노 이동")</f>
        <v/>
      </c>
      <c r="I4">
        <f>HYPERLINK("https://map.naver.com/p/search/%EA%B0%95%EC%84%B1%ED%85%8C%ED%81%AC%20%EA%B2%BD%EB%82%A8%20%EC%96%91%EC%82%B0%EC%8B%9C%20%EC%86%8C%EC%A3%BC%EA%B3%B5%EB%8B%A85%EA%B8%B8", "네이버지도 이동")</f>
        <v/>
      </c>
      <c r="J4">
        <f>HYPERLINK("https://www.google.com/search?q=%EA%B0%95%EC%84%B1%ED%85%8C%ED%81%AC%20%EA%B2%BD%EB%82%A8%20%EC%96%91%EC%82%B0%EC%8B%9C%20%EC%86%8C%EC%A3%BC%EA%B3%B5%EB%8B%A85%EA%B8%B8+%EC%A0%84%ED%99%94%EB%B2%88%ED%98%B8", "구글검색 이동")</f>
        <v/>
      </c>
    </row>
    <row r="5">
      <c r="A5" t="n">
        <v>333</v>
      </c>
      <c r="B5" t="inlineStr">
        <is>
          <t>경남오션개발(주)</t>
        </is>
      </c>
      <c r="C5" t="inlineStr">
        <is>
          <t>김경준</t>
        </is>
      </c>
      <c r="D5" t="inlineStr">
        <is>
          <t>경남 고성군 고성읍 남해안대로 2764-6</t>
        </is>
      </c>
      <c r="E5" t="inlineStr">
        <is>
          <t>010-8526-0289, 055-884-6561</t>
        </is>
      </c>
      <c r="F5" t="inlineStr">
        <is>
          <t>010-8526-0289, 055-884-6561</t>
        </is>
      </c>
      <c r="G5" t="inlineStr">
        <is>
          <t>010-8526-0289, 055-884-6561</t>
        </is>
      </c>
      <c r="H5">
        <f>HYPERLINK("https://bizno.net/search?q=%EA%B2%BD%EB%82%A8%EC%98%A4%EC%85%98%EA%B0%9C%EB%B0%9C", "비즈노 이동")</f>
        <v/>
      </c>
      <c r="I5">
        <f>HYPERLINK("https://map.naver.com/p/search/%EA%B2%BD%EB%82%A8%EC%98%A4%EC%85%98%EA%B0%9C%EB%B0%9C%20%EA%B2%BD%EB%82%A8%20%EA%B3%A0%EC%84%B1%EA%B5%B0%20%EA%B3%A0%EC%84%B1%EC%9D%8D", "네이버지도 이동")</f>
        <v/>
      </c>
      <c r="J5">
        <f>HYPERLINK("https://www.google.com/search?q=%EA%B2%BD%EB%82%A8%EC%98%A4%EC%85%98%EA%B0%9C%EB%B0%9C%20%EA%B2%BD%EB%82%A8%20%EA%B3%A0%EC%84%B1%EA%B5%B0%20%EA%B3%A0%EC%84%B1%EC%9D%8D+%EC%A0%84%ED%99%94%EB%B2%88%ED%98%B8", "구글검색 이동")</f>
        <v/>
      </c>
    </row>
    <row r="6">
      <c r="A6" t="n">
        <v>334</v>
      </c>
      <c r="B6" t="inlineStr">
        <is>
          <t>구든에너지(주)</t>
        </is>
      </c>
      <c r="C6" t="inlineStr">
        <is>
          <t>이진익</t>
        </is>
      </c>
      <c r="D6" t="inlineStr">
        <is>
          <t>경남 김해시 주촌면 골든루트로66번길 48-5, 2동</t>
        </is>
      </c>
      <c r="E6" t="inlineStr">
        <is>
          <t>055-329-5020</t>
        </is>
      </c>
      <c r="F6" t="inlineStr">
        <is>
          <t>055-329-5020</t>
        </is>
      </c>
      <c r="G6" t="inlineStr">
        <is>
          <t>055-329-5020</t>
        </is>
      </c>
      <c r="H6">
        <f>HYPERLINK("https://bizno.net/search?q=%EA%B5%AC%EB%93%A0%EC%97%90%EB%84%88%EC%A7%80", "비즈노 이동")</f>
        <v/>
      </c>
      <c r="I6">
        <f>HYPERLINK("https://map.naver.com/p/search/%EA%B5%AC%EB%93%A0%EC%97%90%EB%84%88%EC%A7%80%20%EA%B2%BD%EB%82%A8%20%EA%B9%80%ED%95%B4%EC%8B%9C%20%EC%A3%BC%EC%B4%8C%EB%A9%B4", "네이버지도 이동")</f>
        <v/>
      </c>
      <c r="J6">
        <f>HYPERLINK("https://www.google.com/search?q=%EA%B5%AC%EB%93%A0%EC%97%90%EB%84%88%EC%A7%80%20%EA%B2%BD%EB%82%A8%20%EA%B9%80%ED%95%B4%EC%8B%9C%20%EC%A3%BC%EC%B4%8C%EB%A9%B4+%EC%A0%84%ED%99%94%EB%B2%88%ED%98%B8", "구글검색 이동")</f>
        <v/>
      </c>
    </row>
    <row r="7">
      <c r="A7" t="n">
        <v>335</v>
      </c>
      <c r="B7" t="inlineStr">
        <is>
          <t>그린몬스터(주)</t>
        </is>
      </c>
      <c r="C7" t="inlineStr">
        <is>
          <t>최영호</t>
        </is>
      </c>
      <c r="D7" t="inlineStr">
        <is>
          <t>경남 양산시 주남로 288</t>
        </is>
      </c>
      <c r="E7" t="inlineStr">
        <is>
          <t>010-9932-6165, 055-380-9114</t>
        </is>
      </c>
      <c r="F7" t="inlineStr">
        <is>
          <t>010-9932-6165</t>
        </is>
      </c>
      <c r="G7" t="inlineStr">
        <is>
          <t>010-9932-6165</t>
        </is>
      </c>
      <c r="H7">
        <f>HYPERLINK("https://bizno.net/search?q=%EA%B7%B8%EB%A6%B0%EB%AA%AC%EC%8A%A4%ED%84%B0", "비즈노 이동")</f>
        <v/>
      </c>
      <c r="I7">
        <f>HYPERLINK("https://map.naver.com/p/search/%EA%B7%B8%EB%A6%B0%EB%AA%AC%EC%8A%A4%ED%84%B0%20%EA%B2%BD%EB%82%A8%20%EC%96%91%EC%82%B0%EC%8B%9C%20%EC%A3%BC%EB%82%A8%EB%A1%9C", "네이버지도 이동")</f>
        <v/>
      </c>
      <c r="J7">
        <f>HYPERLINK("https://www.google.com/search?q=%EA%B7%B8%EB%A6%B0%EB%AA%AC%EC%8A%A4%ED%84%B0%20%EA%B2%BD%EB%82%A8%20%EC%96%91%EC%82%B0%EC%8B%9C%20%EC%A3%BC%EB%82%A8%EB%A1%9C+%EC%A0%84%ED%99%94%EB%B2%88%ED%98%B8", "구글검색 이동")</f>
        <v/>
      </c>
    </row>
    <row r="8">
      <c r="A8" t="n">
        <v>336</v>
      </c>
      <c r="B8" t="inlineStr">
        <is>
          <t>글로진(주)</t>
        </is>
      </c>
      <c r="C8" t="inlineStr">
        <is>
          <t>이현복</t>
        </is>
      </c>
      <c r="D8" t="inlineStr">
        <is>
          <t>경남 진주시 동진로 139</t>
        </is>
      </c>
      <c r="E8" t="inlineStr">
        <is>
          <t>055-794-2787</t>
        </is>
      </c>
      <c r="F8" t="inlineStr">
        <is>
          <t>055-794-2787</t>
        </is>
      </c>
      <c r="G8" t="inlineStr">
        <is>
          <t>055-794-2787</t>
        </is>
      </c>
      <c r="H8">
        <f>HYPERLINK("https://bizno.net/search?q=%EA%B8%80%EB%A1%9C%EC%A7%84", "비즈노 이동")</f>
        <v/>
      </c>
      <c r="I8">
        <f>HYPERLINK("https://map.naver.com/p/search/%EA%B8%80%EB%A1%9C%EC%A7%84%20%EA%B2%BD%EB%82%A8%20%EC%A7%84%EC%A3%BC%EC%8B%9C%20%EB%8F%99%EC%A7%84%EB%A1%9C", "네이버지도 이동")</f>
        <v/>
      </c>
      <c r="J8">
        <f>HYPERLINK("https://www.google.com/search?q=%EA%B8%80%EB%A1%9C%EC%A7%84%20%EA%B2%BD%EB%82%A8%20%EC%A7%84%EC%A3%BC%EC%8B%9C%20%EB%8F%99%EC%A7%84%EB%A1%9C+%EC%A0%84%ED%99%94%EB%B2%88%ED%98%B8", "구글검색 이동")</f>
        <v/>
      </c>
    </row>
    <row r="9">
      <c r="A9" t="n">
        <v>337</v>
      </c>
      <c r="B9" t="inlineStr">
        <is>
          <t>금강정밀(주)</t>
        </is>
      </c>
      <c r="C9" t="inlineStr">
        <is>
          <t>김대근</t>
        </is>
      </c>
      <c r="D9" t="inlineStr">
        <is>
          <t>경남 창원시 성산구 반월로60번길 6-15</t>
        </is>
      </c>
      <c r="E9" t="inlineStr">
        <is>
          <t>055-286-2111, 055-288-1002</t>
        </is>
      </c>
      <c r="F9" t="inlineStr">
        <is>
          <t>055-286-2111, 055-288-1002, 055-284-3044</t>
        </is>
      </c>
      <c r="G9" t="inlineStr">
        <is>
          <t>055-286-2111, 055-288-1002</t>
        </is>
      </c>
      <c r="H9">
        <f>HYPERLINK("https://bizno.net/search?q=%EA%B8%88%EA%B0%95%EC%A0%95%EB%B0%80", "비즈노 이동")</f>
        <v/>
      </c>
      <c r="I9">
        <f>HYPERLINK("https://map.naver.com/p/search/%EA%B8%88%EA%B0%95%EC%A0%95%EB%B0%80%20%EA%B2%BD%EB%82%A8%20%EC%B0%BD%EC%9B%90%EC%8B%9C%20%EC%84%B1%EC%82%B0%EA%B5%AC", "네이버지도 이동")</f>
        <v/>
      </c>
      <c r="J9">
        <f>HYPERLINK("https://www.google.com/search?q=%EA%B8%88%EA%B0%95%EC%A0%95%EB%B0%80%20%EA%B2%BD%EB%82%A8%20%EC%B0%BD%EC%9B%90%EC%8B%9C%20%EC%84%B1%EC%82%B0%EA%B5%AC+%EC%A0%84%ED%99%94%EB%B2%88%ED%98%B8", "구글검색 이동")</f>
        <v/>
      </c>
    </row>
    <row r="10">
      <c r="A10" t="n">
        <v>338</v>
      </c>
      <c r="B10" t="inlineStr">
        <is>
          <t>금성테크(주)</t>
        </is>
      </c>
      <c r="C10" t="inlineStr">
        <is>
          <t>문동원</t>
        </is>
      </c>
      <c r="D10" t="inlineStr">
        <is>
          <t>경남 진주시 대신로160번길 13</t>
        </is>
      </c>
      <c r="E10" t="inlineStr">
        <is>
          <t>055-752-6288, 055-752-0000, 055-762-4947</t>
        </is>
      </c>
      <c r="F10" t="inlineStr">
        <is>
          <t>055-752-6288, 055-752-0000, 055-762-4947</t>
        </is>
      </c>
      <c r="G10" t="inlineStr">
        <is>
          <t>055-752-6288, 055-752-0000</t>
        </is>
      </c>
      <c r="H10">
        <f>HYPERLINK("https://bizno.net/search?q=%EA%B8%88%EC%84%B1%ED%85%8C%ED%81%AC", "비즈노 이동")</f>
        <v/>
      </c>
      <c r="I10">
        <f>HYPERLINK("https://map.naver.com/p/search/%EA%B8%88%EC%84%B1%ED%85%8C%ED%81%AC%20%EA%B2%BD%EB%82%A8%20%EC%A7%84%EC%A3%BC%EC%8B%9C%20%EB%8C%80%EC%8B%A0%EB%A1%9C160%EB%B2%88%EA%B8%B8", "네이버지도 이동")</f>
        <v/>
      </c>
      <c r="J10">
        <f>HYPERLINK("https://www.google.com/search?q=%EA%B8%88%EC%84%B1%ED%85%8C%ED%81%AC%20%EA%B2%BD%EB%82%A8%20%EC%A7%84%EC%A3%BC%EC%8B%9C%20%EB%8C%80%EC%8B%A0%EB%A1%9C160%EB%B2%88%EA%B8%B8+%EC%A0%84%ED%99%94%EB%B2%88%ED%98%B8", "구글검색 이동")</f>
        <v/>
      </c>
    </row>
    <row r="11">
      <c r="A11" t="n">
        <v>339</v>
      </c>
      <c r="B11" t="inlineStr">
        <is>
          <t>금원정밀(주)</t>
        </is>
      </c>
      <c r="C11" t="inlineStr">
        <is>
          <t>최원식</t>
        </is>
      </c>
      <c r="D11" t="inlineStr">
        <is>
          <t>경남 김해시 김해대로2662번길 27-28</t>
        </is>
      </c>
      <c r="E11" t="inlineStr">
        <is>
          <t>055-323-1551, 055-333-3171, 055-332-0407</t>
        </is>
      </c>
      <c r="F11" t="inlineStr">
        <is>
          <t>055-323-1551, 055-333-3171, 055-332-0407</t>
        </is>
      </c>
      <c r="G11" t="inlineStr">
        <is>
          <t>055-323-1551, 055-333-3171</t>
        </is>
      </c>
      <c r="H11">
        <f>HYPERLINK("https://bizno.net/search?q=%EA%B8%88%EC%9B%90%EC%A0%95%EB%B0%80", "비즈노 이동")</f>
        <v/>
      </c>
      <c r="I11">
        <f>HYPERLINK("https://map.naver.com/p/search/%EA%B8%88%EC%9B%90%EC%A0%95%EB%B0%80%20%EA%B2%BD%EB%82%A8%20%EA%B9%80%ED%95%B4%EC%8B%9C%20%EA%B9%80%ED%95%B4%EB%8C%80%EB%A1%9C2662%EB%B2%88%EA%B8%B8", "네이버지도 이동")</f>
        <v/>
      </c>
      <c r="J11">
        <f>HYPERLINK("https://www.google.com/search?q=%EA%B8%88%EC%9B%90%EC%A0%95%EB%B0%80%20%EA%B2%BD%EB%82%A8%20%EA%B9%80%ED%95%B4%EC%8B%9C%20%EA%B9%80%ED%95%B4%EB%8C%80%EB%A1%9C2662%EB%B2%88%EA%B8%B8+%EC%A0%84%ED%99%94%EB%B2%88%ED%98%B8", "구글검색 이동")</f>
        <v/>
      </c>
    </row>
    <row r="12">
      <c r="A12" t="n">
        <v>340</v>
      </c>
      <c r="B12" t="inlineStr">
        <is>
          <t>금창(주)</t>
        </is>
      </c>
      <c r="C12" t="inlineStr">
        <is>
          <t>장명남</t>
        </is>
      </c>
      <c r="D12" t="inlineStr">
        <is>
          <t>경남 창원시 마산회원구 봉암공단로 20</t>
        </is>
      </c>
      <c r="E12" t="inlineStr">
        <is>
          <t>055-284-1972</t>
        </is>
      </c>
      <c r="F12" t="inlineStr">
        <is>
          <t>055-284-1972</t>
        </is>
      </c>
      <c r="G12" t="inlineStr">
        <is>
          <t>055-284-1972</t>
        </is>
      </c>
      <c r="H12">
        <f>HYPERLINK("https://bizno.net/search?q=%EA%B8%88%EC%B0%BD", "비즈노 이동")</f>
        <v/>
      </c>
      <c r="I12">
        <f>HYPERLINK("https://map.naver.com/p/search/%EA%B8%88%EC%B0%BD%20%EA%B2%BD%EB%82%A8%20%EC%B0%BD%EC%9B%90%EC%8B%9C%20%EB%A7%88%EC%82%B0%ED%9A%8C%EC%9B%90%EA%B5%AC", "네이버지도 이동")</f>
        <v/>
      </c>
      <c r="J12">
        <f>HYPERLINK("https://www.google.com/search?q=%EA%B8%88%EC%B0%BD%20%EA%B2%BD%EB%82%A8%20%EC%B0%BD%EC%9B%90%EC%8B%9C%20%EB%A7%88%EC%82%B0%ED%9A%8C%EC%9B%90%EA%B5%AC+%EC%A0%84%ED%99%94%EB%B2%88%ED%98%B8", "구글검색 이동")</f>
        <v/>
      </c>
    </row>
    <row r="13">
      <c r="A13" t="n">
        <v>341</v>
      </c>
      <c r="B13" t="inlineStr">
        <is>
          <t>깍두가(주)</t>
        </is>
      </c>
      <c r="C13" t="inlineStr">
        <is>
          <t>김성란</t>
        </is>
      </c>
      <c r="D13" t="inlineStr">
        <is>
          <t>경남 창원시 마산합포구 교방천남길 360</t>
        </is>
      </c>
      <c r="E13" t="inlineStr">
        <is>
          <t>055-247-2626, 055-246-6090</t>
        </is>
      </c>
      <c r="F13" t="inlineStr">
        <is>
          <t>055-247-2626, 055-246-6090</t>
        </is>
      </c>
      <c r="G13" t="inlineStr">
        <is>
          <t>055-247-2626, 055-246-6090</t>
        </is>
      </c>
      <c r="H13">
        <f>HYPERLINK("https://bizno.net/search?q=%EA%B9%8D%EB%91%90%EA%B0%80", "비즈노 이동")</f>
        <v/>
      </c>
      <c r="I13">
        <f>HYPERLINK("https://map.naver.com/p/search/%EA%B9%8D%EB%91%90%EA%B0%80%20%EA%B2%BD%EB%82%A8%20%EC%B0%BD%EC%9B%90%EC%8B%9C%20%EB%A7%88%EC%82%B0%ED%95%A9%ED%8F%AC%EA%B5%AC", "네이버지도 이동")</f>
        <v/>
      </c>
      <c r="J13">
        <f>HYPERLINK("https://www.google.com/search?q=%EA%B9%8D%EB%91%90%EA%B0%80%20%EA%B2%BD%EB%82%A8%20%EC%B0%BD%EC%9B%90%EC%8B%9C%20%EB%A7%88%EC%82%B0%ED%95%A9%ED%8F%AC%EA%B5%AC+%EC%A0%84%ED%99%94%EB%B2%88%ED%98%B8", "구글검색 이동")</f>
        <v/>
      </c>
    </row>
    <row r="14">
      <c r="A14" t="n">
        <v>342</v>
      </c>
      <c r="B14" t="inlineStr">
        <is>
          <t>누리토탈서비스(주)</t>
        </is>
      </c>
      <c r="C14" t="inlineStr">
        <is>
          <t>최명화</t>
        </is>
      </c>
      <c r="D14" t="inlineStr">
        <is>
          <t>경남 창원시 의창구 사화로18번길 6, 301호</t>
        </is>
      </c>
      <c r="E14" t="inlineStr">
        <is>
          <t>055-288-9322</t>
        </is>
      </c>
      <c r="F14" t="inlineStr">
        <is>
          <t>055-288-9322</t>
        </is>
      </c>
      <c r="G14" t="inlineStr">
        <is>
          <t>055-288-9322</t>
        </is>
      </c>
      <c r="H14">
        <f>HYPERLINK("https://bizno.net/search?q=%EB%88%84%EB%A6%AC%ED%86%A0%ED%83%88%EC%84%9C%EB%B9%84%EC%8A%A4", "비즈노 이동")</f>
        <v/>
      </c>
      <c r="I14">
        <f>HYPERLINK("https://map.naver.com/p/search/%EB%88%84%EB%A6%AC%ED%86%A0%ED%83%88%EC%84%9C%EB%B9%84%EC%8A%A4%20%EA%B2%BD%EB%82%A8%20%EC%B0%BD%EC%9B%90%EC%8B%9C%20%EC%9D%98%EC%B0%BD%EA%B5%AC", "네이버지도 이동")</f>
        <v/>
      </c>
      <c r="J14">
        <f>HYPERLINK("https://www.google.com/search?q=%EB%88%84%EB%A6%AC%ED%86%A0%ED%83%88%EC%84%9C%EB%B9%84%EC%8A%A4%20%EA%B2%BD%EB%82%A8%20%EC%B0%BD%EC%9B%90%EC%8B%9C%20%EC%9D%98%EC%B0%BD%EA%B5%AC+%EC%A0%84%ED%99%94%EB%B2%88%ED%98%B8", "구글검색 이동")</f>
        <v/>
      </c>
    </row>
    <row r="15">
      <c r="A15" t="n">
        <v>343</v>
      </c>
      <c r="B15" t="inlineStr">
        <is>
          <t>단고훈(농)(주)</t>
        </is>
      </c>
      <c r="C15" t="inlineStr">
        <is>
          <t>이강희</t>
        </is>
      </c>
      <c r="D15" t="inlineStr">
        <is>
          <t>경남 함양군 함양읍 대실곰실로 31-1</t>
        </is>
      </c>
      <c r="E15" t="inlineStr">
        <is>
          <t>055-964-1553</t>
        </is>
      </c>
      <c r="F15" t="inlineStr">
        <is>
          <t>055-964-1553</t>
        </is>
      </c>
      <c r="G15" t="inlineStr">
        <is>
          <t>055-964-1553</t>
        </is>
      </c>
      <c r="H15">
        <f>HYPERLINK("https://bizno.net/search?q=%EB%8B%A8%EA%B3%A0%ED%9B%88%28%EB%86%8D%29", "비즈노 이동")</f>
        <v/>
      </c>
      <c r="I15">
        <f>HYPERLINK("https://map.naver.com/p/search/%EB%8B%A8%EA%B3%A0%ED%9B%88%28%EB%86%8D%29%20%EA%B2%BD%EB%82%A8%20%ED%95%A8%EC%96%91%EA%B5%B0%20%ED%95%A8%EC%96%91%EC%9D%8D", "네이버지도 이동")</f>
        <v/>
      </c>
      <c r="J15">
        <f>HYPERLINK("https://www.google.com/search?q=%EB%8B%A8%EA%B3%A0%ED%9B%88%28%EB%86%8D%29%20%EA%B2%BD%EB%82%A8%20%ED%95%A8%EC%96%91%EA%B5%B0%20%ED%95%A8%EC%96%91%EC%9D%8D+%EC%A0%84%ED%99%94%EB%B2%88%ED%98%B8", "구글검색 이동")</f>
        <v/>
      </c>
    </row>
    <row r="16">
      <c r="A16" t="n">
        <v>344</v>
      </c>
      <c r="B16" t="inlineStr">
        <is>
          <t>대금스틸(주)</t>
        </is>
      </c>
      <c r="C16" t="inlineStr">
        <is>
          <t>곽동구</t>
        </is>
      </c>
      <c r="D16" t="inlineStr">
        <is>
          <t>경남 김해시 한림면 안하로116번길 29</t>
        </is>
      </c>
      <c r="E16" t="inlineStr">
        <is>
          <t>055-346-6070</t>
        </is>
      </c>
      <c r="F16" t="inlineStr">
        <is>
          <t>055-346-6070</t>
        </is>
      </c>
      <c r="G16" t="inlineStr">
        <is>
          <t>055-346-6070</t>
        </is>
      </c>
      <c r="H16">
        <f>HYPERLINK("https://bizno.net/search?q=%EB%8C%80%EA%B8%88%EC%8A%A4%ED%8B%B8", "비즈노 이동")</f>
        <v/>
      </c>
      <c r="I16">
        <f>HYPERLINK("https://map.naver.com/p/search/%EB%8C%80%EA%B8%88%EC%8A%A4%ED%8B%B8%20%EA%B2%BD%EB%82%A8%20%EA%B9%80%ED%95%B4%EC%8B%9C%20%ED%95%9C%EB%A6%BC%EB%A9%B4", "네이버지도 이동")</f>
        <v/>
      </c>
      <c r="J16">
        <f>HYPERLINK("https://www.google.com/search?q=%EB%8C%80%EA%B8%88%EC%8A%A4%ED%8B%B8%20%EA%B2%BD%EB%82%A8%20%EA%B9%80%ED%95%B4%EC%8B%9C%20%ED%95%9C%EB%A6%BC%EB%A9%B4+%EC%A0%84%ED%99%94%EB%B2%88%ED%98%B8", "구글검색 이동")</f>
        <v/>
      </c>
    </row>
    <row r="17">
      <c r="A17" t="n">
        <v>345</v>
      </c>
      <c r="B17" t="inlineStr">
        <is>
          <t>대능이엔지(주)</t>
        </is>
      </c>
      <c r="C17" t="inlineStr">
        <is>
          <t>민병도</t>
        </is>
      </c>
      <c r="D17" t="inlineStr">
        <is>
          <t>경남 김해시 진례면 고모로 632</t>
        </is>
      </c>
      <c r="E17" t="inlineStr">
        <is>
          <t>055-328-6411</t>
        </is>
      </c>
      <c r="F17" t="inlineStr">
        <is>
          <t>055-328-6411</t>
        </is>
      </c>
      <c r="G17" t="inlineStr">
        <is>
          <t>055-328-6411</t>
        </is>
      </c>
      <c r="H17">
        <f>HYPERLINK("https://bizno.net/search?q=%EB%8C%80%EB%8A%A5%EC%9D%B4%EC%97%94%EC%A7%80", "비즈노 이동")</f>
        <v/>
      </c>
      <c r="I17">
        <f>HYPERLINK("https://map.naver.com/p/search/%EB%8C%80%EB%8A%A5%EC%9D%B4%EC%97%94%EC%A7%80%20%EA%B2%BD%EB%82%A8%20%EA%B9%80%ED%95%B4%EC%8B%9C%20%EC%A7%84%EB%A1%80%EB%A9%B4", "네이버지도 이동")</f>
        <v/>
      </c>
      <c r="J17">
        <f>HYPERLINK("https://www.google.com/search?q=%EB%8C%80%EB%8A%A5%EC%9D%B4%EC%97%94%EC%A7%80%20%EA%B2%BD%EB%82%A8%20%EA%B9%80%ED%95%B4%EC%8B%9C%20%EC%A7%84%EB%A1%80%EB%A9%B4+%EC%A0%84%ED%99%94%EB%B2%88%ED%98%B8", "구글검색 이동")</f>
        <v/>
      </c>
    </row>
    <row r="18">
      <c r="A18" t="n">
        <v>346</v>
      </c>
      <c r="B18" t="inlineStr">
        <is>
          <t>대산기업(주)</t>
        </is>
      </c>
      <c r="C18" t="inlineStr">
        <is>
          <t>강상경</t>
        </is>
      </c>
      <c r="D18" t="inlineStr">
        <is>
          <t>경남 진주시 금산면 금산로 125</t>
        </is>
      </c>
      <c r="E18" t="inlineStr">
        <is>
          <t>062-383-0011, 055-762-1133</t>
        </is>
      </c>
      <c r="F18" t="inlineStr">
        <is>
          <t>없음</t>
        </is>
      </c>
      <c r="G18" t="inlineStr">
        <is>
          <t>062-383-0011, 055-762-1133</t>
        </is>
      </c>
      <c r="H18">
        <f>HYPERLINK("https://bizno.net/search?q=%EB%8C%80%EC%82%B0%EA%B8%B0%EC%97%85", "비즈노 이동")</f>
        <v/>
      </c>
      <c r="I18">
        <f>HYPERLINK("https://map.naver.com/p/search/%EB%8C%80%EC%82%B0%EA%B8%B0%EC%97%85%20%EA%B2%BD%EB%82%A8%20%EC%A7%84%EC%A3%BC%EC%8B%9C%20%EA%B8%88%EC%82%B0%EB%A9%B4", "네이버지도 이동")</f>
        <v/>
      </c>
      <c r="J18">
        <f>HYPERLINK("https://www.google.com/search?q=%EB%8C%80%EC%82%B0%EA%B8%B0%EC%97%85%20%EA%B2%BD%EB%82%A8%20%EC%A7%84%EC%A3%BC%EC%8B%9C%20%EA%B8%88%EC%82%B0%EB%A9%B4+%EC%A0%84%ED%99%94%EB%B2%88%ED%98%B8", "구글검색 이동")</f>
        <v/>
      </c>
    </row>
    <row r="19">
      <c r="A19" t="n">
        <v>347</v>
      </c>
      <c r="B19" t="inlineStr">
        <is>
          <t>대산산업(주)</t>
        </is>
      </c>
      <c r="C19" t="inlineStr">
        <is>
          <t>안우진</t>
        </is>
      </c>
      <c r="D19" t="inlineStr">
        <is>
          <t>경남 함안군 대산면 평림2길 142-10</t>
        </is>
      </c>
      <c r="E19" t="inlineStr">
        <is>
          <t>055-583-6056, 055-240-0200, 055-582-8021</t>
        </is>
      </c>
      <c r="F19" t="inlineStr">
        <is>
          <t>없음</t>
        </is>
      </c>
      <c r="G19" t="inlineStr">
        <is>
          <t>055-583-6056, 055-240-0200</t>
        </is>
      </c>
      <c r="H19">
        <f>HYPERLINK("https://bizno.net/search?q=%EB%8C%80%EC%82%B0%EC%82%B0%EC%97%85", "비즈노 이동")</f>
        <v/>
      </c>
      <c r="I19">
        <f>HYPERLINK("https://map.naver.com/p/search/%EB%8C%80%EC%82%B0%EC%82%B0%EC%97%85%20%EA%B2%BD%EB%82%A8%20%ED%95%A8%EC%95%88%EA%B5%B0%20%EB%8C%80%EC%82%B0%EB%A9%B4", "네이버지도 이동")</f>
        <v/>
      </c>
      <c r="J19">
        <f>HYPERLINK("https://www.google.com/search?q=%EB%8C%80%EC%82%B0%EC%82%B0%EC%97%85%20%EA%B2%BD%EB%82%A8%20%ED%95%A8%EC%95%88%EA%B5%B0%20%EB%8C%80%EC%82%B0%EB%A9%B4+%EC%A0%84%ED%99%94%EB%B2%88%ED%98%B8", "구글검색 이동")</f>
        <v/>
      </c>
    </row>
    <row r="20">
      <c r="A20" t="n">
        <v>348</v>
      </c>
      <c r="B20" t="inlineStr">
        <is>
          <t>대원디에스(주)</t>
        </is>
      </c>
      <c r="C20" t="inlineStr">
        <is>
          <t>성낙구</t>
        </is>
      </c>
      <c r="D20" t="inlineStr">
        <is>
          <t>경남 김해시 상동면 상동로 450-9</t>
        </is>
      </c>
      <c r="E20" t="inlineStr">
        <is>
          <t>055-724-3455, 055-733-3387</t>
        </is>
      </c>
      <c r="F20" t="inlineStr">
        <is>
          <t>055-724-3455, 055-733-3387</t>
        </is>
      </c>
      <c r="G20" t="inlineStr">
        <is>
          <t>055-724-3455, 055-733-3387</t>
        </is>
      </c>
      <c r="H20">
        <f>HYPERLINK("https://bizno.net/search?q=%EB%8C%80%EC%9B%90%EB%94%94%EC%97%90%EC%8A%A4", "비즈노 이동")</f>
        <v/>
      </c>
      <c r="I20">
        <f>HYPERLINK("https://map.naver.com/p/search/%EB%8C%80%EC%9B%90%EB%94%94%EC%97%90%EC%8A%A4%20%EA%B2%BD%EB%82%A8%20%EA%B9%80%ED%95%B4%EC%8B%9C%20%EC%83%81%EB%8F%99%EB%A9%B4", "네이버지도 이동")</f>
        <v/>
      </c>
      <c r="J20">
        <f>HYPERLINK("https://www.google.com/search?q=%EB%8C%80%EC%9B%90%EB%94%94%EC%97%90%EC%8A%A4%20%EA%B2%BD%EB%82%A8%20%EA%B9%80%ED%95%B4%EC%8B%9C%20%EC%83%81%EB%8F%99%EB%A9%B4+%EC%A0%84%ED%99%94%EB%B2%88%ED%98%B8", "구글검색 이동")</f>
        <v/>
      </c>
    </row>
    <row r="21">
      <c r="A21" t="n">
        <v>349</v>
      </c>
      <c r="B21" t="inlineStr">
        <is>
          <t>대한</t>
        </is>
      </c>
      <c r="C21" t="inlineStr">
        <is>
          <t>한상돈</t>
        </is>
      </c>
      <c r="D21" t="inlineStr">
        <is>
          <t>경남 통영시 광도면 공단로 946</t>
        </is>
      </c>
      <c r="E21" t="inlineStr">
        <is>
          <t>055-649-6235, 055-673-5221, 055-645-3621, 055-643-0805</t>
        </is>
      </c>
      <c r="F21" t="inlineStr">
        <is>
          <t>055-649-6235, 055-673-5221, 055-645-3621, 055-643-0805</t>
        </is>
      </c>
      <c r="G21" t="inlineStr">
        <is>
          <t>055-649-6235, 055-673-5221</t>
        </is>
      </c>
      <c r="H21">
        <f>HYPERLINK("https://bizno.net/search?q=%EB%8C%80%ED%95%9C", "비즈노 이동")</f>
        <v/>
      </c>
      <c r="I21">
        <f>HYPERLINK("https://map.naver.com/p/search/%EB%8C%80%ED%95%9C%20%EA%B2%BD%EB%82%A8%20%ED%86%B5%EC%98%81%EC%8B%9C%20%EA%B4%91%EB%8F%84%EB%A9%B4", "네이버지도 이동")</f>
        <v/>
      </c>
      <c r="J21">
        <f>HYPERLINK("https://www.google.com/search?q=%EB%8C%80%ED%95%9C%20%EA%B2%BD%EB%82%A8%20%ED%86%B5%EC%98%81%EC%8B%9C%20%EA%B4%91%EB%8F%84%EB%A9%B4+%EC%A0%84%ED%99%94%EB%B2%88%ED%98%B8", "구글검색 이동")</f>
        <v/>
      </c>
    </row>
    <row r="22">
      <c r="A22" t="n">
        <v>350</v>
      </c>
      <c r="B22" t="inlineStr">
        <is>
          <t>대한성형(주)</t>
        </is>
      </c>
      <c r="C22" t="inlineStr">
        <is>
          <t>이봉재</t>
        </is>
      </c>
      <c r="D22" t="inlineStr">
        <is>
          <t>경남 김해시 상동면 동북로473번길 342-69</t>
        </is>
      </c>
      <c r="E22" t="inlineStr">
        <is>
          <t>055-323-5355, 010-4562-9537, 055-320-6200</t>
        </is>
      </c>
      <c r="F22" t="inlineStr">
        <is>
          <t>055-323-5355, 010-4562-9537</t>
        </is>
      </c>
      <c r="G22" t="inlineStr">
        <is>
          <t>055-323-5355, 010-4562-9537</t>
        </is>
      </c>
      <c r="H22">
        <f>HYPERLINK("https://bizno.net/search?q=%EB%8C%80%ED%95%9C%EC%84%B1%ED%98%95", "비즈노 이동")</f>
        <v/>
      </c>
      <c r="I22">
        <f>HYPERLINK("https://map.naver.com/p/search/%EB%8C%80%ED%95%9C%EC%84%B1%ED%98%95%20%EA%B2%BD%EB%82%A8%20%EA%B9%80%ED%95%B4%EC%8B%9C%20%EC%83%81%EB%8F%99%EB%A9%B4", "네이버지도 이동")</f>
        <v/>
      </c>
      <c r="J22">
        <f>HYPERLINK("https://www.google.com/search?q=%EB%8C%80%ED%95%9C%EC%84%B1%ED%98%95%20%EA%B2%BD%EB%82%A8%20%EA%B9%80%ED%95%B4%EC%8B%9C%20%EC%83%81%EB%8F%99%EB%A9%B4+%EC%A0%84%ED%99%94%EB%B2%88%ED%98%B8", "구글검색 이동")</f>
        <v/>
      </c>
    </row>
    <row r="23">
      <c r="A23" t="n">
        <v>351</v>
      </c>
      <c r="B23" t="inlineStr">
        <is>
          <t>대흥인더스트리(주)</t>
        </is>
      </c>
      <c r="C23" t="inlineStr">
        <is>
          <t>유승표</t>
        </is>
      </c>
      <c r="D23" t="inlineStr">
        <is>
          <t>경남 양산시 산막공단북12길 40</t>
        </is>
      </c>
      <c r="E23" t="inlineStr">
        <is>
          <t>055-389-1036</t>
        </is>
      </c>
      <c r="F23" t="inlineStr">
        <is>
          <t>055-389-1036, 055-370-3331</t>
        </is>
      </c>
      <c r="G23" t="inlineStr">
        <is>
          <t>055-389-1036</t>
        </is>
      </c>
      <c r="H23">
        <f>HYPERLINK("https://bizno.net/search?q=%EB%8C%80%ED%9D%A5%EC%9D%B8%EB%8D%94%EC%8A%A4%ED%8A%B8%EB%A6%AC", "비즈노 이동")</f>
        <v/>
      </c>
      <c r="I23">
        <f>HYPERLINK("https://map.naver.com/p/search/%EB%8C%80%ED%9D%A5%EC%9D%B8%EB%8D%94%EC%8A%A4%ED%8A%B8%EB%A6%AC%20%EA%B2%BD%EB%82%A8%20%EC%96%91%EC%82%B0%EC%8B%9C%20%EC%82%B0%EB%A7%89%EA%B3%B5%EB%8B%A8%EB%B6%8112%EA%B8%B8", "네이버지도 이동")</f>
        <v/>
      </c>
      <c r="J23">
        <f>HYPERLINK("https://www.google.com/search?q=%EB%8C%80%ED%9D%A5%EC%9D%B8%EB%8D%94%EC%8A%A4%ED%8A%B8%EB%A6%AC%20%EA%B2%BD%EB%82%A8%20%EC%96%91%EC%82%B0%EC%8B%9C%20%EC%82%B0%EB%A7%89%EA%B3%B5%EB%8B%A8%EB%B6%8112%EA%B8%B8+%EC%A0%84%ED%99%94%EB%B2%88%ED%98%B8", "구글검색 이동")</f>
        <v/>
      </c>
    </row>
    <row r="24">
      <c r="A24" t="n">
        <v>352</v>
      </c>
      <c r="B24" t="inlineStr">
        <is>
          <t>동우</t>
        </is>
      </c>
      <c r="C24" t="inlineStr">
        <is>
          <t>김윤진</t>
        </is>
      </c>
      <c r="D24" t="inlineStr">
        <is>
          <t>경남 창원시 성산구 공단로 211</t>
        </is>
      </c>
      <c r="E24" t="inlineStr">
        <is>
          <t>04-0667-9486</t>
        </is>
      </c>
      <c r="F24" t="inlineStr">
        <is>
          <t>없음</t>
        </is>
      </c>
      <c r="G24" t="inlineStr">
        <is>
          <t>04-0667-9486</t>
        </is>
      </c>
      <c r="H24">
        <f>HYPERLINK("https://bizno.net/search?q=%EB%8F%99%EC%9A%B0", "비즈노 이동")</f>
        <v/>
      </c>
      <c r="I24">
        <f>HYPERLINK("https://map.naver.com/p/search/%EB%8F%99%EC%9A%B0%20%EA%B2%BD%EB%82%A8%20%EC%B0%BD%EC%9B%90%EC%8B%9C%20%EC%84%B1%EC%82%B0%EA%B5%AC", "네이버지도 이동")</f>
        <v/>
      </c>
      <c r="J24">
        <f>HYPERLINK("https://www.google.com/search?q=%EB%8F%99%EC%9A%B0%20%EA%B2%BD%EB%82%A8%20%EC%B0%BD%EC%9B%90%EC%8B%9C%20%EC%84%B1%EC%82%B0%EA%B5%AC+%EC%A0%84%ED%99%94%EB%B2%88%ED%98%B8", "구글검색 이동")</f>
        <v/>
      </c>
    </row>
    <row r="25">
      <c r="A25" t="n">
        <v>353</v>
      </c>
      <c r="B25" t="inlineStr">
        <is>
          <t>동해테크(주)</t>
        </is>
      </c>
      <c r="C25" t="inlineStr">
        <is>
          <t>박호영</t>
        </is>
      </c>
      <c r="D25" t="inlineStr">
        <is>
          <t>경남 함양군 수동면 산업단지길 148</t>
        </is>
      </c>
      <c r="E25" t="inlineStr">
        <is>
          <t>055-960-3400, 055-960-5188, 055-960-3498</t>
        </is>
      </c>
      <c r="F25" t="inlineStr">
        <is>
          <t>055-960-3400, 055-960-5188, 055-960-3498</t>
        </is>
      </c>
      <c r="G25" t="inlineStr">
        <is>
          <t>055-960-3400, 055-960-5188</t>
        </is>
      </c>
      <c r="H25">
        <f>HYPERLINK("https://bizno.net/search?q=%EB%8F%99%ED%95%B4%ED%85%8C%ED%81%AC", "비즈노 이동")</f>
        <v/>
      </c>
      <c r="I25">
        <f>HYPERLINK("https://map.naver.com/p/search/%EB%8F%99%ED%95%B4%ED%85%8C%ED%81%AC%20%EA%B2%BD%EB%82%A8%20%ED%95%A8%EC%96%91%EA%B5%B0%20%EC%88%98%EB%8F%99%EB%A9%B4", "네이버지도 이동")</f>
        <v/>
      </c>
      <c r="J25">
        <f>HYPERLINK("https://www.google.com/search?q=%EB%8F%99%ED%95%B4%ED%85%8C%ED%81%AC%20%EA%B2%BD%EB%82%A8%20%ED%95%A8%EC%96%91%EA%B5%B0%20%EC%88%98%EB%8F%99%EB%A9%B4+%EC%A0%84%ED%99%94%EB%B2%88%ED%98%B8", "구글검색 이동")</f>
        <v/>
      </c>
    </row>
    <row r="26">
      <c r="A26" t="n">
        <v>354</v>
      </c>
      <c r="B26" t="inlineStr">
        <is>
          <t>디아이철강(주)</t>
        </is>
      </c>
      <c r="C26" t="inlineStr">
        <is>
          <t>임경영</t>
        </is>
      </c>
      <c r="D26" t="inlineStr">
        <is>
          <t>경남 의령군 의령읍 구룡로4남길 52</t>
        </is>
      </c>
      <c r="E26" t="inlineStr">
        <is>
          <t>055-953-9880</t>
        </is>
      </c>
      <c r="F26" t="inlineStr">
        <is>
          <t>055-953-9880</t>
        </is>
      </c>
      <c r="G26" t="inlineStr">
        <is>
          <t>055-953-9880</t>
        </is>
      </c>
      <c r="H26">
        <f>HYPERLINK("https://bizno.net/search?q=%EB%94%94%EC%95%84%EC%9D%B4%EC%B2%A0%EA%B0%95", "비즈노 이동")</f>
        <v/>
      </c>
      <c r="I26">
        <f>HYPERLINK("https://map.naver.com/p/search/%EB%94%94%EC%95%84%EC%9D%B4%EC%B2%A0%EA%B0%95%20%EA%B2%BD%EB%82%A8%20%EC%9D%98%EB%A0%B9%EA%B5%B0%20%EC%9D%98%EB%A0%B9%EC%9D%8D", "네이버지도 이동")</f>
        <v/>
      </c>
      <c r="J26">
        <f>HYPERLINK("https://www.google.com/search?q=%EB%94%94%EC%95%84%EC%9D%B4%EC%B2%A0%EA%B0%95%20%EA%B2%BD%EB%82%A8%20%EC%9D%98%EB%A0%B9%EA%B5%B0%20%EC%9D%98%EB%A0%B9%EC%9D%8D+%EC%A0%84%ED%99%94%EB%B2%88%ED%98%B8", "구글검색 이동")</f>
        <v/>
      </c>
    </row>
    <row r="27">
      <c r="A27" t="n">
        <v>355</v>
      </c>
      <c r="B27" t="inlineStr">
        <is>
          <t>디엘에스</t>
        </is>
      </c>
      <c r="C27" t="inlineStr">
        <is>
          <t>김선국</t>
        </is>
      </c>
      <c r="D27" t="inlineStr">
        <is>
          <t>경남 김해시 한림면 명동산단로 58</t>
        </is>
      </c>
      <c r="E27" t="inlineStr">
        <is>
          <t>070-4819-7984, 055-343-8346</t>
        </is>
      </c>
      <c r="F27" t="inlineStr">
        <is>
          <t>070-4819-7984, 055-343-8346</t>
        </is>
      </c>
      <c r="G27" t="inlineStr">
        <is>
          <t>070-4819-7984, 055-343-8346</t>
        </is>
      </c>
      <c r="H27">
        <f>HYPERLINK("https://bizno.net/search?q=%EB%94%94%EC%97%98%EC%97%90%EC%8A%A4", "비즈노 이동")</f>
        <v/>
      </c>
      <c r="I27">
        <f>HYPERLINK("https://map.naver.com/p/search/%EB%94%94%EC%97%98%EC%97%90%EC%8A%A4%20%EA%B2%BD%EB%82%A8%20%EA%B9%80%ED%95%B4%EC%8B%9C%20%ED%95%9C%EB%A6%BC%EB%A9%B4", "네이버지도 이동")</f>
        <v/>
      </c>
      <c r="J27">
        <f>HYPERLINK("https://www.google.com/search?q=%EB%94%94%EC%97%98%EC%97%90%EC%8A%A4%20%EA%B2%BD%EB%82%A8%20%EA%B9%80%ED%95%B4%EC%8B%9C%20%ED%95%9C%EB%A6%BC%EB%A9%B4+%EC%A0%84%ED%99%94%EB%B2%88%ED%98%B8", "구글검색 이동")</f>
        <v/>
      </c>
    </row>
    <row r="28">
      <c r="A28" t="n">
        <v>356</v>
      </c>
      <c r="B28" t="inlineStr">
        <is>
          <t>디엠아이(주)</t>
        </is>
      </c>
      <c r="C28" t="inlineStr">
        <is>
          <t>김갑식</t>
        </is>
      </c>
      <c r="D28" t="inlineStr">
        <is>
          <t>경남 진주시 사봉면 산업단지로27번길 33</t>
        </is>
      </c>
      <c r="E28" t="inlineStr">
        <is>
          <t>055-756-5400, 055-756-5401</t>
        </is>
      </c>
      <c r="F28" t="inlineStr">
        <is>
          <t>055-756-5400, 055-756-5401</t>
        </is>
      </c>
      <c r="G28" t="inlineStr">
        <is>
          <t>055-756-5400, 055-756-5401</t>
        </is>
      </c>
      <c r="H28">
        <f>HYPERLINK("https://bizno.net/search?q=%EB%94%94%EC%97%A0%EC%95%84%EC%9D%B4", "비즈노 이동")</f>
        <v/>
      </c>
      <c r="I28">
        <f>HYPERLINK("https://map.naver.com/p/search/%EB%94%94%EC%97%A0%EC%95%84%EC%9D%B4%20%EA%B2%BD%EB%82%A8%20%EC%A7%84%EC%A3%BC%EC%8B%9C%20%EC%82%AC%EB%B4%89%EB%A9%B4", "네이버지도 이동")</f>
        <v/>
      </c>
      <c r="J28">
        <f>HYPERLINK("https://www.google.com/search?q=%EB%94%94%EC%97%A0%EC%95%84%EC%9D%B4%20%EA%B2%BD%EB%82%A8%20%EC%A7%84%EC%A3%BC%EC%8B%9C%20%EC%82%AC%EB%B4%89%EB%A9%B4+%EC%A0%84%ED%99%94%EB%B2%88%ED%98%B8", "구글검색 이동")</f>
        <v/>
      </c>
    </row>
    <row r="29">
      <c r="A29" t="n">
        <v>357</v>
      </c>
      <c r="B29" t="inlineStr">
        <is>
          <t>디케이에이치(주)</t>
        </is>
      </c>
      <c r="C29" t="inlineStr">
        <is>
          <t>김재윤</t>
        </is>
      </c>
      <c r="D29" t="inlineStr">
        <is>
          <t>경남 김해시 한림면 김해대로927번길 86-12</t>
        </is>
      </c>
      <c r="E29" t="inlineStr">
        <is>
          <t>055-346-6962</t>
        </is>
      </c>
      <c r="F29" t="inlineStr">
        <is>
          <t>055-346-6962</t>
        </is>
      </c>
      <c r="G29" t="inlineStr">
        <is>
          <t>055-346-6962</t>
        </is>
      </c>
      <c r="H29">
        <f>HYPERLINK("https://bizno.net/search?q=%EB%94%94%EC%BC%80%EC%9D%B4%EC%97%90%EC%9D%B4%EC%B9%98", "비즈노 이동")</f>
        <v/>
      </c>
      <c r="I29">
        <f>HYPERLINK("https://map.naver.com/p/search/%EB%94%94%EC%BC%80%EC%9D%B4%EC%97%90%EC%9D%B4%EC%B9%98%20%EA%B2%BD%EB%82%A8%20%EA%B9%80%ED%95%B4%EC%8B%9C%20%ED%95%9C%EB%A6%BC%EB%A9%B4", "네이버지도 이동")</f>
        <v/>
      </c>
      <c r="J29">
        <f>HYPERLINK("https://www.google.com/search?q=%EB%94%94%EC%BC%80%EC%9D%B4%EC%97%90%EC%9D%B4%EC%B9%98%20%EA%B2%BD%EB%82%A8%20%EA%B9%80%ED%95%B4%EC%8B%9C%20%ED%95%9C%EB%A6%BC%EB%A9%B4+%EC%A0%84%ED%99%94%EB%B2%88%ED%98%B8", "구글검색 이동")</f>
        <v/>
      </c>
    </row>
    <row r="30">
      <c r="A30" t="n">
        <v>358</v>
      </c>
      <c r="B30" t="inlineStr">
        <is>
          <t>마에스트로테크놀러지(주)</t>
        </is>
      </c>
      <c r="C30" t="inlineStr">
        <is>
          <t>신용선</t>
        </is>
      </c>
      <c r="D30" t="inlineStr">
        <is>
          <t>경남 양산시 상북면 공원로3길 34</t>
        </is>
      </c>
      <c r="E30" t="inlineStr">
        <is>
          <t>055-375-9431</t>
        </is>
      </c>
      <c r="F30" t="inlineStr">
        <is>
          <t>055-375-9431</t>
        </is>
      </c>
      <c r="G30" t="inlineStr">
        <is>
          <t>055-375-9431</t>
        </is>
      </c>
      <c r="H30">
        <f>HYPERLINK("https://bizno.net/search?q=%EB%A7%88%EC%97%90%EC%8A%A4%ED%8A%B8%EB%A1%9C%ED%85%8C%ED%81%AC%EB%86%80%EB%9F%AC%EC%A7%80", "비즈노 이동")</f>
        <v/>
      </c>
      <c r="I30">
        <f>HYPERLINK("https://map.naver.com/p/search/%EB%A7%88%EC%97%90%EC%8A%A4%ED%8A%B8%EB%A1%9C%ED%85%8C%ED%81%AC%EB%86%80%EB%9F%AC%EC%A7%80%20%EA%B2%BD%EB%82%A8%20%EC%96%91%EC%82%B0%EC%8B%9C%20%EC%83%81%EB%B6%81%EB%A9%B4", "네이버지도 이동")</f>
        <v/>
      </c>
      <c r="J30">
        <f>HYPERLINK("https://www.google.com/search?q=%EB%A7%88%EC%97%90%EC%8A%A4%ED%8A%B8%EB%A1%9C%ED%85%8C%ED%81%AC%EB%86%80%EB%9F%AC%EC%A7%80%20%EA%B2%BD%EB%82%A8%20%EC%96%91%EC%82%B0%EC%8B%9C%20%EC%83%81%EB%B6%81%EB%A9%B4+%EC%A0%84%ED%99%94%EB%B2%88%ED%98%B8", "구글검색 이동")</f>
        <v/>
      </c>
    </row>
    <row r="31">
      <c r="A31" t="n">
        <v>359</v>
      </c>
      <c r="B31" t="inlineStr">
        <is>
          <t>맥스아로마(주)</t>
        </is>
      </c>
      <c r="C31" t="inlineStr">
        <is>
          <t>하재순</t>
        </is>
      </c>
      <c r="D31" t="inlineStr">
        <is>
          <t>경남 진주시 문산읍 월아산로 991</t>
        </is>
      </c>
      <c r="E31" t="inlineStr">
        <is>
          <t>010-2579-5130, 055-762-9831, 042-863-5130</t>
        </is>
      </c>
      <c r="F31" t="inlineStr">
        <is>
          <t>010-2579-5130, 055-762-9831, 055-972-8982, 042-863-5130</t>
        </is>
      </c>
      <c r="G31" t="inlineStr">
        <is>
          <t>010-2579-5130, 055-762-9831</t>
        </is>
      </c>
      <c r="H31">
        <f>HYPERLINK("https://bizno.net/search?q=%EB%A7%A5%EC%8A%A4%EC%95%84%EB%A1%9C%EB%A7%88", "비즈노 이동")</f>
        <v/>
      </c>
      <c r="I31">
        <f>HYPERLINK("https://map.naver.com/p/search/%EB%A7%A5%EC%8A%A4%EC%95%84%EB%A1%9C%EB%A7%88%20%EA%B2%BD%EB%82%A8%20%EC%A7%84%EC%A3%BC%EC%8B%9C%20%EB%AC%B8%EC%82%B0%EC%9D%8D", "네이버지도 이동")</f>
        <v/>
      </c>
      <c r="J31">
        <f>HYPERLINK("https://www.google.com/search?q=%EB%A7%A5%EC%8A%A4%EC%95%84%EB%A1%9C%EB%A7%88%20%EA%B2%BD%EB%82%A8%20%EC%A7%84%EC%A3%BC%EC%8B%9C%20%EB%AC%B8%EC%82%B0%EC%9D%8D+%EC%A0%84%ED%99%94%EB%B2%88%ED%98%B8", "구글검색 이동")</f>
        <v/>
      </c>
    </row>
    <row r="32">
      <c r="A32" t="n">
        <v>360</v>
      </c>
      <c r="B32" t="inlineStr">
        <is>
          <t>맹석테크(주)</t>
        </is>
      </c>
      <c r="C32" t="inlineStr">
        <is>
          <t>옥맹석</t>
        </is>
      </c>
      <c r="D32" t="inlineStr">
        <is>
          <t>경남 함안군 법수면 황사리 888번지</t>
        </is>
      </c>
      <c r="E32" t="inlineStr">
        <is>
          <t>055-585-7801, 055-584-8311</t>
        </is>
      </c>
      <c r="F32" t="inlineStr">
        <is>
          <t>055-585-7801, 055-584-8311, 043-212-5460</t>
        </is>
      </c>
      <c r="G32" t="inlineStr">
        <is>
          <t>055-585-7801, 055-584-8311</t>
        </is>
      </c>
      <c r="H32">
        <f>HYPERLINK("https://bizno.net/search?q=%EB%A7%B9%EC%84%9D%ED%85%8C%ED%81%AC", "비즈노 이동")</f>
        <v/>
      </c>
      <c r="I32">
        <f>HYPERLINK("https://map.naver.com/p/search/%EB%A7%B9%EC%84%9D%ED%85%8C%ED%81%AC%20%EA%B2%BD%EB%82%A8%20%ED%95%A8%EC%95%88%EA%B5%B0%20%EB%B2%95%EC%88%98%EB%A9%B4", "네이버지도 이동")</f>
        <v/>
      </c>
      <c r="J32">
        <f>HYPERLINK("https://www.google.com/search?q=%EB%A7%B9%EC%84%9D%ED%85%8C%ED%81%AC%20%EA%B2%BD%EB%82%A8%20%ED%95%A8%EC%95%88%EA%B5%B0%20%EB%B2%95%EC%88%98%EB%A9%B4+%EC%A0%84%ED%99%94%EB%B2%88%ED%98%B8", "구글검색 이동")</f>
        <v/>
      </c>
    </row>
    <row r="33">
      <c r="A33" t="n">
        <v>361</v>
      </c>
      <c r="B33" t="inlineStr">
        <is>
          <t>모운(농)</t>
        </is>
      </c>
      <c r="C33" t="inlineStr">
        <is>
          <t>황국진</t>
        </is>
      </c>
      <c r="D33" t="inlineStr">
        <is>
          <t>경남 산청군 금서면 친환경로2316번길 15</t>
        </is>
      </c>
      <c r="E33" t="inlineStr">
        <is>
          <t>0559728982, 055-972-8982</t>
        </is>
      </c>
      <c r="F33" t="inlineStr">
        <is>
          <t>0559728982, 055-972-8982</t>
        </is>
      </c>
      <c r="G33" t="inlineStr">
        <is>
          <t>0559728982, 055-972-8982</t>
        </is>
      </c>
      <c r="H33">
        <f>HYPERLINK("https://bizno.net/search?q=%EB%AA%A8%EC%9A%B4%28%EB%86%8D%29", "비즈노 이동")</f>
        <v/>
      </c>
      <c r="I33">
        <f>HYPERLINK("https://map.naver.com/p/search/%EB%AA%A8%EC%9A%B4%28%EB%86%8D%29%20%EA%B2%BD%EB%82%A8%20%EC%82%B0%EC%B2%AD%EA%B5%B0%20%EA%B8%88%EC%84%9C%EB%A9%B4", "네이버지도 이동")</f>
        <v/>
      </c>
      <c r="J33">
        <f>HYPERLINK("https://www.google.com/search?q=%EB%AA%A8%EC%9A%B4%28%EB%86%8D%29%20%EA%B2%BD%EB%82%A8%20%EC%82%B0%EC%B2%AD%EA%B5%B0%20%EA%B8%88%EC%84%9C%EB%A9%B4+%EC%A0%84%ED%99%94%EB%B2%88%ED%98%B8", "구글검색 이동")</f>
        <v/>
      </c>
    </row>
    <row r="34">
      <c r="A34" t="n">
        <v>362</v>
      </c>
      <c r="B34" t="inlineStr">
        <is>
          <t>미래이앤지(주)</t>
        </is>
      </c>
      <c r="C34" t="inlineStr">
        <is>
          <t>김종철</t>
        </is>
      </c>
      <c r="D34" t="inlineStr">
        <is>
          <t>경남 김해시 진례면 테크노밸리길 189</t>
        </is>
      </c>
      <c r="E34" t="inlineStr">
        <is>
          <t>055-345-2701, 043-212-5460</t>
        </is>
      </c>
      <c r="F34" t="inlineStr">
        <is>
          <t>055-345-2701</t>
        </is>
      </c>
      <c r="G34" t="inlineStr">
        <is>
          <t>055-345-2701</t>
        </is>
      </c>
      <c r="H34">
        <f>HYPERLINK("https://bizno.net/search?q=%EB%AF%B8%EB%9E%98%EC%9D%B4%EC%95%A4%EC%A7%80", "비즈노 이동")</f>
        <v/>
      </c>
      <c r="I34">
        <f>HYPERLINK("https://map.naver.com/p/search/%EB%AF%B8%EB%9E%98%EC%9D%B4%EC%95%A4%EC%A7%80%20%EA%B2%BD%EB%82%A8%20%EA%B9%80%ED%95%B4%EC%8B%9C%20%EC%A7%84%EB%A1%80%EB%A9%B4", "네이버지도 이동")</f>
        <v/>
      </c>
      <c r="J34">
        <f>HYPERLINK("https://www.google.com/search?q=%EB%AF%B8%EB%9E%98%EC%9D%B4%EC%95%A4%EC%A7%80%20%EA%B2%BD%EB%82%A8%20%EA%B9%80%ED%95%B4%EC%8B%9C%20%EC%A7%84%EB%A1%80%EB%A9%B4+%EC%A0%84%ED%99%94%EB%B2%88%ED%98%B8", "구글검색 이동")</f>
        <v/>
      </c>
    </row>
    <row r="35">
      <c r="A35" t="n">
        <v>363</v>
      </c>
      <c r="B35" t="inlineStr">
        <is>
          <t>민준이엔지</t>
        </is>
      </c>
      <c r="C35" t="inlineStr">
        <is>
          <t>박장수</t>
        </is>
      </c>
      <c r="D35" t="inlineStr">
        <is>
          <t>경남 거제시 사등면 지석로 43-18</t>
        </is>
      </c>
      <c r="E35" t="inlineStr">
        <is>
          <t>055-633-7638, 055-633-7636, 055-633-4960</t>
        </is>
      </c>
      <c r="F35" t="inlineStr">
        <is>
          <t>055-633-7638, 055-633-7636, 055-633-4960, 02-333-5352</t>
        </is>
      </c>
      <c r="G35" t="inlineStr">
        <is>
          <t>055-633-7638, 055-633-7636</t>
        </is>
      </c>
      <c r="H35">
        <f>HYPERLINK("https://bizno.net/search?q=%EB%AF%BC%EC%A4%80%EC%9D%B4%EC%97%94%EC%A7%80", "비즈노 이동")</f>
        <v/>
      </c>
      <c r="I35">
        <f>HYPERLINK("https://map.naver.com/p/search/%EB%AF%BC%EC%A4%80%EC%9D%B4%EC%97%94%EC%A7%80%20%EA%B2%BD%EB%82%A8%20%EA%B1%B0%EC%A0%9C%EC%8B%9C%20%EC%82%AC%EB%93%B1%EB%A9%B4", "네이버지도 이동")</f>
        <v/>
      </c>
      <c r="J35">
        <f>HYPERLINK("https://www.google.com/search?q=%EB%AF%BC%EC%A4%80%EC%9D%B4%EC%97%94%EC%A7%80%20%EA%B2%BD%EB%82%A8%20%EA%B1%B0%EC%A0%9C%EC%8B%9C%20%EC%82%AC%EB%93%B1%EB%A9%B4+%EC%A0%84%ED%99%94%EB%B2%88%ED%98%B8", "구글검색 이동")</f>
        <v/>
      </c>
    </row>
    <row r="36">
      <c r="A36" t="n">
        <v>364</v>
      </c>
      <c r="B36" t="inlineStr">
        <is>
          <t>반도호이스트크레인</t>
        </is>
      </c>
      <c r="C36" t="inlineStr">
        <is>
          <t>임동만</t>
        </is>
      </c>
      <c r="D36" t="inlineStr">
        <is>
          <t>경남 창원시 의창구 차룡로48번길 44, B동 106호</t>
        </is>
      </c>
      <c r="E36" t="inlineStr">
        <is>
          <t>없음</t>
        </is>
      </c>
      <c r="F36" t="inlineStr">
        <is>
          <t>없음</t>
        </is>
      </c>
      <c r="G36" t="inlineStr">
        <is>
          <t>확인불가/없음</t>
        </is>
      </c>
      <c r="H36">
        <f>HYPERLINK("https://bizno.net/search?q=%EB%B0%98%EB%8F%84%ED%98%B8%EC%9D%B4%EC%8A%A4%ED%8A%B8%ED%81%AC%EB%A0%88%EC%9D%B8", "비즈노 이동")</f>
        <v/>
      </c>
      <c r="I36">
        <f>HYPERLINK("https://map.naver.com/p/search/%EB%B0%98%EB%8F%84%ED%98%B8%EC%9D%B4%EC%8A%A4%ED%8A%B8%ED%81%AC%EB%A0%88%EC%9D%B8%20%EA%B2%BD%EB%82%A8%20%EC%B0%BD%EC%9B%90%EC%8B%9C%20%EC%9D%98%EC%B0%BD%EA%B5%AC", "네이버지도 이동")</f>
        <v/>
      </c>
      <c r="J36">
        <f>HYPERLINK("https://www.google.com/search?q=%EB%B0%98%EB%8F%84%ED%98%B8%EC%9D%B4%EC%8A%A4%ED%8A%B8%ED%81%AC%EB%A0%88%EC%9D%B8%20%EA%B2%BD%EB%82%A8%20%EC%B0%BD%EC%9B%90%EC%8B%9C%20%EC%9D%98%EC%B0%BD%EA%B5%AC+%EC%A0%84%ED%99%94%EB%B2%88%ED%98%B8", "구글검색 이동")</f>
        <v/>
      </c>
    </row>
    <row r="37">
      <c r="A37" t="n">
        <v>365</v>
      </c>
      <c r="B37" t="inlineStr">
        <is>
          <t>버거킹수월점(주)</t>
        </is>
      </c>
      <c r="C37" t="inlineStr">
        <is>
          <t>반세웅</t>
        </is>
      </c>
      <c r="D37" t="inlineStr">
        <is>
          <t>경남 거제시 수양로 471</t>
        </is>
      </c>
      <c r="E37" t="inlineStr">
        <is>
          <t>055-634-1116, 02-333-5352</t>
        </is>
      </c>
      <c r="F37" t="inlineStr">
        <is>
          <t>055-634-1116, 070-7176-7778</t>
        </is>
      </c>
      <c r="G37" t="inlineStr">
        <is>
          <t>055-634-1116</t>
        </is>
      </c>
      <c r="H37">
        <f>HYPERLINK("https://bizno.net/search?q=%EB%B2%84%EA%B1%B0%ED%82%B9%EC%88%98%EC%9B%94%EC%A0%90", "비즈노 이동")</f>
        <v/>
      </c>
      <c r="I37">
        <f>HYPERLINK("https://map.naver.com/p/search/%EB%B2%84%EA%B1%B0%ED%82%B9%EC%88%98%EC%9B%94%EC%A0%90%20%EA%B2%BD%EB%82%A8%20%EA%B1%B0%EC%A0%9C%EC%8B%9C%20%EC%88%98%EC%96%91%EB%A1%9C", "네이버지도 이동")</f>
        <v/>
      </c>
      <c r="J37">
        <f>HYPERLINK("https://www.google.com/search?q=%EB%B2%84%EA%B1%B0%ED%82%B9%EC%88%98%EC%9B%94%EC%A0%90%20%EA%B2%BD%EB%82%A8%20%EA%B1%B0%EC%A0%9C%EC%8B%9C%20%EC%88%98%EC%96%91%EB%A1%9C+%EC%A0%84%ED%99%94%EB%B2%88%ED%98%B8", "구글검색 이동")</f>
        <v/>
      </c>
    </row>
    <row r="38">
      <c r="A38" t="n">
        <v>366</v>
      </c>
      <c r="B38" t="inlineStr">
        <is>
          <t>벨고</t>
        </is>
      </c>
      <c r="C38" t="inlineStr">
        <is>
          <t>이백산</t>
        </is>
      </c>
      <c r="D38" t="inlineStr">
        <is>
          <t>경남 창원시 의창구 퇴촌동 창원대학로 20</t>
        </is>
      </c>
      <c r="E38" t="inlineStr">
        <is>
          <t>010-9228-7756, 055-256-2256, 010-4254-2256, 010-5879-9928</t>
        </is>
      </c>
      <c r="F38" t="inlineStr">
        <is>
          <t>010-9228-7756, 055-256-2256, 010-4254-2256, 055-323-2085</t>
        </is>
      </c>
      <c r="G38" t="inlineStr">
        <is>
          <t>010-9228-7756, 055-256-2256</t>
        </is>
      </c>
      <c r="H38">
        <f>HYPERLINK("https://bizno.net/search?q=%EB%B2%A8%EA%B3%A0", "비즈노 이동")</f>
        <v/>
      </c>
      <c r="I38">
        <f>HYPERLINK("https://map.naver.com/p/search/%EB%B2%A8%EA%B3%A0%20%EA%B2%BD%EB%82%A8%20%EC%B0%BD%EC%9B%90%EC%8B%9C%20%EC%9D%98%EC%B0%BD%EA%B5%AC", "네이버지도 이동")</f>
        <v/>
      </c>
      <c r="J38">
        <f>HYPERLINK("https://www.google.com/search?q=%EB%B2%A8%EA%B3%A0%20%EA%B2%BD%EB%82%A8%20%EC%B0%BD%EC%9B%90%EC%8B%9C%20%EC%9D%98%EC%B0%BD%EA%B5%AC+%EC%A0%84%ED%99%94%EB%B2%88%ED%98%B8", "구글검색 이동")</f>
        <v/>
      </c>
    </row>
    <row r="39">
      <c r="A39" t="n">
        <v>367</v>
      </c>
      <c r="B39" t="inlineStr">
        <is>
          <t>비엑스코리아(주)</t>
        </is>
      </c>
      <c r="C39" t="inlineStr">
        <is>
          <t>편기범</t>
        </is>
      </c>
      <c r="D39" t="inlineStr">
        <is>
          <t>경남 밀양시 상남면 이연길 64</t>
        </is>
      </c>
      <c r="E39" t="inlineStr">
        <is>
          <t>055-354-7504, 070-7176-7778, 055-354-7503, 070-7176-7775, 055-602-5532</t>
        </is>
      </c>
      <c r="F39" t="inlineStr">
        <is>
          <t>055-354-7504, 070-7176-7778, 055-354-7503, 070-7176-7775, 055-602-5532</t>
        </is>
      </c>
      <c r="G39" t="inlineStr">
        <is>
          <t>055-354-7504, 070-7176-7778</t>
        </is>
      </c>
      <c r="H39">
        <f>HYPERLINK("https://bizno.net/search?q=%EB%B9%84%EC%97%91%EC%8A%A4%EC%BD%94%EB%A6%AC%EC%95%84", "비즈노 이동")</f>
        <v/>
      </c>
      <c r="I39">
        <f>HYPERLINK("https://map.naver.com/p/search/%EB%B9%84%EC%97%91%EC%8A%A4%EC%BD%94%EB%A6%AC%EC%95%84%20%EA%B2%BD%EB%82%A8%20%EB%B0%80%EC%96%91%EC%8B%9C%20%EC%83%81%EB%82%A8%EB%A9%B4", "네이버지도 이동")</f>
        <v/>
      </c>
      <c r="J39">
        <f>HYPERLINK("https://www.google.com/search?q=%EB%B9%84%EC%97%91%EC%8A%A4%EC%BD%94%EB%A6%AC%EC%95%84%20%EA%B2%BD%EB%82%A8%20%EB%B0%80%EC%96%91%EC%8B%9C%20%EC%83%81%EB%82%A8%EB%A9%B4+%EC%A0%84%ED%99%94%EB%B2%88%ED%98%B8", "구글검색 이동")</f>
        <v/>
      </c>
    </row>
    <row r="40">
      <c r="A40" t="n">
        <v>368</v>
      </c>
      <c r="B40" t="inlineStr">
        <is>
          <t>비엠테크윈(주)</t>
        </is>
      </c>
      <c r="C40" t="inlineStr">
        <is>
          <t>서보민</t>
        </is>
      </c>
      <c r="D40" t="inlineStr">
        <is>
          <t>경남 김해시 김해대로 2776, 11</t>
        </is>
      </c>
      <c r="E40" t="inlineStr">
        <is>
          <t>051-326-5858, 051-728-2085, 055-323-2085</t>
        </is>
      </c>
      <c r="F40" t="inlineStr">
        <is>
          <t>051-326-5858, 051-728-2085</t>
        </is>
      </c>
      <c r="G40" t="inlineStr">
        <is>
          <t>051-326-5858, 051-728-2085</t>
        </is>
      </c>
      <c r="H40">
        <f>HYPERLINK("https://bizno.net/search?q=%EB%B9%84%EC%97%A0%ED%85%8C%ED%81%AC%EC%9C%88", "비즈노 이동")</f>
        <v/>
      </c>
      <c r="I40">
        <f>HYPERLINK("https://map.naver.com/p/search/%EB%B9%84%EC%97%A0%ED%85%8C%ED%81%AC%EC%9C%88%20%EA%B2%BD%EB%82%A8%20%EA%B9%80%ED%95%B4%EC%8B%9C%20%EA%B9%80%ED%95%B4%EB%8C%80%EB%A1%9C", "네이버지도 이동")</f>
        <v/>
      </c>
      <c r="J40">
        <f>HYPERLINK("https://www.google.com/search?q=%EB%B9%84%EC%97%A0%ED%85%8C%ED%81%AC%EC%9C%88%20%EA%B2%BD%EB%82%A8%20%EA%B9%80%ED%95%B4%EC%8B%9C%20%EA%B9%80%ED%95%B4%EB%8C%80%EB%A1%9C+%EC%A0%84%ED%99%94%EB%B2%88%ED%98%B8", "구글검색 이동")</f>
        <v/>
      </c>
    </row>
    <row r="41">
      <c r="A41" t="n">
        <v>369</v>
      </c>
      <c r="B41" t="inlineStr">
        <is>
          <t>산양알앤에이(주)</t>
        </is>
      </c>
      <c r="C41" t="inlineStr">
        <is>
          <t>최주완</t>
        </is>
      </c>
      <c r="D41" t="inlineStr">
        <is>
          <t>경남 창원시 진해구 용원북로 19</t>
        </is>
      </c>
      <c r="E41" t="inlineStr">
        <is>
          <t>055-552-2151</t>
        </is>
      </c>
      <c r="F41" t="inlineStr">
        <is>
          <t>055-552-2151</t>
        </is>
      </c>
      <c r="G41" t="inlineStr">
        <is>
          <t>055-552-2151</t>
        </is>
      </c>
      <c r="H41">
        <f>HYPERLINK("https://bizno.net/search?q=%EC%82%B0%EC%96%91%EC%95%8C%EC%95%A4%EC%97%90%EC%9D%B4", "비즈노 이동")</f>
        <v/>
      </c>
      <c r="I41">
        <f>HYPERLINK("https://map.naver.com/p/search/%EC%82%B0%EC%96%91%EC%95%8C%EC%95%A4%EC%97%90%EC%9D%B4%20%EA%B2%BD%EB%82%A8%20%EC%B0%BD%EC%9B%90%EC%8B%9C%20%EC%A7%84%ED%95%B4%EA%B5%AC", "네이버지도 이동")</f>
        <v/>
      </c>
      <c r="J41">
        <f>HYPERLINK("https://www.google.com/search?q=%EC%82%B0%EC%96%91%EC%95%8C%EC%95%A4%EC%97%90%EC%9D%B4%20%EA%B2%BD%EB%82%A8%20%EC%B0%BD%EC%9B%90%EC%8B%9C%20%EC%A7%84%ED%95%B4%EA%B5%AC+%EC%A0%84%ED%99%94%EB%B2%88%ED%98%B8", "구글검색 이동")</f>
        <v/>
      </c>
    </row>
    <row r="42">
      <c r="A42" t="n">
        <v>370</v>
      </c>
      <c r="B42" t="inlineStr">
        <is>
          <t>삼성다이나에이치백(주)</t>
        </is>
      </c>
      <c r="C42" t="inlineStr">
        <is>
          <t>고호곤</t>
        </is>
      </c>
      <c r="D42" t="inlineStr">
        <is>
          <t>경남 창원시 성산구 공단로 535</t>
        </is>
      </c>
      <c r="E42" t="inlineStr">
        <is>
          <t>055-282-9111, 055-280-9111, 055-280-4700, 055-280-4721</t>
        </is>
      </c>
      <c r="F42" t="inlineStr">
        <is>
          <t>055-282-9111, 055-280-9111, 055-280-4700, 055-280-4721</t>
        </is>
      </c>
      <c r="G42" t="inlineStr">
        <is>
          <t>055-282-9111, 055-280-9111</t>
        </is>
      </c>
      <c r="H42">
        <f>HYPERLINK("https://bizno.net/search?q=%EC%82%BC%EC%84%B1%EB%8B%A4%EC%9D%B4%EB%82%98%EC%97%90%EC%9D%B4%EC%B9%98%EB%B0%B1", "비즈노 이동")</f>
        <v/>
      </c>
      <c r="I42">
        <f>HYPERLINK("https://map.naver.com/p/search/%EC%82%BC%EC%84%B1%EB%8B%A4%EC%9D%B4%EB%82%98%EC%97%90%EC%9D%B4%EC%B9%98%EB%B0%B1%20%EA%B2%BD%EB%82%A8%20%EC%B0%BD%EC%9B%90%EC%8B%9C%20%EC%84%B1%EC%82%B0%EA%B5%AC", "네이버지도 이동")</f>
        <v/>
      </c>
      <c r="J42">
        <f>HYPERLINK("https://www.google.com/search?q=%EC%82%BC%EC%84%B1%EB%8B%A4%EC%9D%B4%EB%82%98%EC%97%90%EC%9D%B4%EC%B9%98%EB%B0%B1%20%EA%B2%BD%EB%82%A8%20%EC%B0%BD%EC%9B%90%EC%8B%9C%20%EC%84%B1%EC%82%B0%EA%B5%AC+%EC%A0%84%ED%99%94%EB%B2%88%ED%98%B8", "구글검색 이동")</f>
        <v/>
      </c>
    </row>
    <row r="43">
      <c r="A43" t="n">
        <v>371</v>
      </c>
      <c r="B43" t="inlineStr">
        <is>
          <t>삼한산업(유)</t>
        </is>
      </c>
      <c r="C43" t="inlineStr">
        <is>
          <t>배을순</t>
        </is>
      </c>
      <c r="D43" t="inlineStr">
        <is>
          <t>경남 의령군 부림면 한지20길 39-8</t>
        </is>
      </c>
      <c r="E43" t="inlineStr">
        <is>
          <t>055-572-6901</t>
        </is>
      </c>
      <c r="F43" t="inlineStr">
        <is>
          <t>055-572-6901</t>
        </is>
      </c>
      <c r="G43" t="inlineStr">
        <is>
          <t>055-572-6901</t>
        </is>
      </c>
      <c r="H43">
        <f>HYPERLINK("https://bizno.net/search?q=%EC%82%BC%ED%95%9C%EC%82%B0%EC%97%85", "비즈노 이동")</f>
        <v/>
      </c>
      <c r="I43">
        <f>HYPERLINK("https://map.naver.com/p/search/%EC%82%BC%ED%95%9C%EC%82%B0%EC%97%85%20%EA%B2%BD%EB%82%A8%20%EC%9D%98%EB%A0%B9%EA%B5%B0%20%EB%B6%80%EB%A6%BC%EB%A9%B4", "네이버지도 이동")</f>
        <v/>
      </c>
      <c r="J43">
        <f>HYPERLINK("https://www.google.com/search?q=%EC%82%BC%ED%95%9C%EC%82%B0%EC%97%85%20%EA%B2%BD%EB%82%A8%20%EC%9D%98%EB%A0%B9%EA%B5%B0%20%EB%B6%80%EB%A6%BC%EB%A9%B4+%EC%A0%84%ED%99%94%EB%B2%88%ED%98%B8", "구글검색 이동")</f>
        <v/>
      </c>
    </row>
    <row r="44">
      <c r="A44" t="n">
        <v>372</v>
      </c>
      <c r="B44" t="inlineStr">
        <is>
          <t>상승(주)</t>
        </is>
      </c>
      <c r="C44" t="inlineStr">
        <is>
          <t>심윤정</t>
        </is>
      </c>
      <c r="D44" t="inlineStr">
        <is>
          <t>경남 양산시 충렬로 61</t>
        </is>
      </c>
      <c r="E44" t="inlineStr">
        <is>
          <t>055-370-3331</t>
        </is>
      </c>
      <c r="F44" t="inlineStr">
        <is>
          <t>055-370-3331</t>
        </is>
      </c>
      <c r="G44" t="inlineStr">
        <is>
          <t>055-370-3331</t>
        </is>
      </c>
      <c r="H44">
        <f>HYPERLINK("https://bizno.net/search?q=%EC%83%81%EC%8A%B9", "비즈노 이동")</f>
        <v/>
      </c>
      <c r="I44">
        <f>HYPERLINK("https://map.naver.com/p/search/%EC%83%81%EC%8A%B9%20%EA%B2%BD%EB%82%A8%20%EC%96%91%EC%82%B0%EC%8B%9C%20%EC%B6%A9%EB%A0%AC%EB%A1%9C", "네이버지도 이동")</f>
        <v/>
      </c>
      <c r="J44">
        <f>HYPERLINK("https://www.google.com/search?q=%EC%83%81%EC%8A%B9%20%EA%B2%BD%EB%82%A8%20%EC%96%91%EC%82%B0%EC%8B%9C%20%EC%B6%A9%EB%A0%AC%EB%A1%9C+%EC%A0%84%ED%99%94%EB%B2%88%ED%98%B8", "구글검색 이동")</f>
        <v/>
      </c>
    </row>
    <row r="45">
      <c r="A45" t="n">
        <v>373</v>
      </c>
      <c r="B45" t="inlineStr">
        <is>
          <t>소담공방 협동조합</t>
        </is>
      </c>
      <c r="C45" t="inlineStr">
        <is>
          <t>이경춘</t>
        </is>
      </c>
      <c r="D45" t="inlineStr">
        <is>
          <t>경남 김해시 진례면 송현로47번길 49</t>
        </is>
      </c>
      <c r="E45" t="inlineStr">
        <is>
          <t>010-3800-3358, 055-343-4132, 07-1391-3362</t>
        </is>
      </c>
      <c r="F45" t="inlineStr">
        <is>
          <t>010-3800-3358, 055-343-4132, 07-1391-3362</t>
        </is>
      </c>
      <c r="G45" t="inlineStr">
        <is>
          <t>010-3800-3358, 055-343-4132</t>
        </is>
      </c>
      <c r="H45">
        <f>HYPERLINK("https://bizno.net/search?q=%EC%86%8C%EB%8B%B4%EA%B3%B5%EB%B0%A9%20%ED%98%91%EB%8F%99%EC%A1%B0%ED%95%A9", "비즈노 이동")</f>
        <v/>
      </c>
      <c r="I45">
        <f>HYPERLINK("https://map.naver.com/p/search/%EC%86%8C%EB%8B%B4%EA%B3%B5%EB%B0%A9%20%ED%98%91%EB%8F%99%EC%A1%B0%ED%95%A9%20%EA%B2%BD%EB%82%A8%20%EA%B9%80%ED%95%B4%EC%8B%9C%20%EC%A7%84%EB%A1%80%EB%A9%B4", "네이버지도 이동")</f>
        <v/>
      </c>
      <c r="J45">
        <f>HYPERLINK("https://www.google.com/search?q=%EC%86%8C%EB%8B%B4%EA%B3%B5%EB%B0%A9%20%ED%98%91%EB%8F%99%EC%A1%B0%ED%95%A9%20%EA%B2%BD%EB%82%A8%20%EA%B9%80%ED%95%B4%EC%8B%9C%20%EC%A7%84%EB%A1%80%EB%A9%B4+%EC%A0%84%ED%99%94%EB%B2%88%ED%98%B8", "구글검색 이동")</f>
        <v/>
      </c>
    </row>
    <row r="46">
      <c r="A46" t="n">
        <v>374</v>
      </c>
      <c r="B46" t="inlineStr">
        <is>
          <t>신일기연(주)</t>
        </is>
      </c>
      <c r="C46" t="inlineStr">
        <is>
          <t>황석식</t>
        </is>
      </c>
      <c r="D46" t="inlineStr">
        <is>
          <t>경남 창원시 의창구 평산로70번길 35</t>
        </is>
      </c>
      <c r="E46" t="inlineStr">
        <is>
          <t>055-253-2481</t>
        </is>
      </c>
      <c r="F46" t="inlineStr">
        <is>
          <t>055-253-2481</t>
        </is>
      </c>
      <c r="G46" t="inlineStr">
        <is>
          <t>055-253-2481</t>
        </is>
      </c>
      <c r="H46">
        <f>HYPERLINK("https://bizno.net/search?q=%EC%8B%A0%EC%9D%BC%EA%B8%B0%EC%97%B0", "비즈노 이동")</f>
        <v/>
      </c>
      <c r="I46">
        <f>HYPERLINK("https://map.naver.com/p/search/%EC%8B%A0%EC%9D%BC%EA%B8%B0%EC%97%B0%20%EA%B2%BD%EB%82%A8%20%EC%B0%BD%EC%9B%90%EC%8B%9C%20%EC%9D%98%EC%B0%BD%EA%B5%AC", "네이버지도 이동")</f>
        <v/>
      </c>
      <c r="J46">
        <f>HYPERLINK("https://www.google.com/search?q=%EC%8B%A0%EC%9D%BC%EA%B8%B0%EC%97%B0%20%EA%B2%BD%EB%82%A8%20%EC%B0%BD%EC%9B%90%EC%8B%9C%20%EC%9D%98%EC%B0%BD%EA%B5%AC+%EC%A0%84%ED%99%94%EB%B2%88%ED%98%B8", "구글검색 이동")</f>
        <v/>
      </c>
    </row>
    <row r="47">
      <c r="A47" t="n">
        <v>375</v>
      </c>
      <c r="B47" t="inlineStr">
        <is>
          <t>신화이엔피(주)</t>
        </is>
      </c>
      <c r="C47" t="inlineStr">
        <is>
          <t>신성현</t>
        </is>
      </c>
      <c r="D47" t="inlineStr">
        <is>
          <t>경남 김해시 상동면 동북로 891</t>
        </is>
      </c>
      <c r="E47" t="inlineStr">
        <is>
          <t>055-311-3500</t>
        </is>
      </c>
      <c r="F47" t="inlineStr">
        <is>
          <t>055-311-3500</t>
        </is>
      </c>
      <c r="G47" t="inlineStr">
        <is>
          <t>055-311-3500</t>
        </is>
      </c>
      <c r="H47">
        <f>HYPERLINK("https://bizno.net/search?q=%EC%8B%A0%ED%99%94%EC%9D%B4%EC%97%94%ED%94%BC", "비즈노 이동")</f>
        <v/>
      </c>
      <c r="I47">
        <f>HYPERLINK("https://map.naver.com/p/search/%EC%8B%A0%ED%99%94%EC%9D%B4%EC%97%94%ED%94%BC%20%EA%B2%BD%EB%82%A8%20%EA%B9%80%ED%95%B4%EC%8B%9C%20%EC%83%81%EB%8F%99%EB%A9%B4", "네이버지도 이동")</f>
        <v/>
      </c>
      <c r="J47">
        <f>HYPERLINK("https://www.google.com/search?q=%EC%8B%A0%ED%99%94%EC%9D%B4%EC%97%94%ED%94%BC%20%EA%B2%BD%EB%82%A8%20%EA%B9%80%ED%95%B4%EC%8B%9C%20%EC%83%81%EB%8F%99%EB%A9%B4+%EC%A0%84%ED%99%94%EB%B2%88%ED%98%B8", "구글검색 이동")</f>
        <v/>
      </c>
    </row>
    <row r="48">
      <c r="A48" t="n">
        <v>376</v>
      </c>
      <c r="B48" t="inlineStr">
        <is>
          <t>씨앤아이테크</t>
        </is>
      </c>
      <c r="C48" t="inlineStr">
        <is>
          <t>김대영</t>
        </is>
      </c>
      <c r="D48" t="inlineStr">
        <is>
          <t>경남 양산시 산막동 산막공단북10길 102</t>
        </is>
      </c>
      <c r="E48" t="inlineStr">
        <is>
          <t>010-4563-0295</t>
        </is>
      </c>
      <c r="F48" t="inlineStr">
        <is>
          <t>010-4563-0295</t>
        </is>
      </c>
      <c r="G48" t="inlineStr">
        <is>
          <t>010-4563-0295</t>
        </is>
      </c>
      <c r="H48">
        <f>HYPERLINK("https://bizno.net/search?q=%EC%94%A8%EC%95%A4%EC%95%84%EC%9D%B4%ED%85%8C%ED%81%AC", "비즈노 이동")</f>
        <v/>
      </c>
      <c r="I48">
        <f>HYPERLINK("https://map.naver.com/p/search/%EC%94%A8%EC%95%A4%EC%95%84%EC%9D%B4%ED%85%8C%ED%81%AC%20%EA%B2%BD%EB%82%A8%20%EC%96%91%EC%82%B0%EC%8B%9C%20%EC%82%B0%EB%A7%89%EB%8F%99", "네이버지도 이동")</f>
        <v/>
      </c>
      <c r="J48">
        <f>HYPERLINK("https://www.google.com/search?q=%EC%94%A8%EC%95%A4%EC%95%84%EC%9D%B4%ED%85%8C%ED%81%AC%20%EA%B2%BD%EB%82%A8%20%EC%96%91%EC%82%B0%EC%8B%9C%20%EC%82%B0%EB%A7%89%EB%8F%99+%EC%A0%84%ED%99%94%EB%B2%88%ED%98%B8", "구글검색 이동")</f>
        <v/>
      </c>
    </row>
    <row r="49">
      <c r="A49" t="n">
        <v>377</v>
      </c>
      <c r="B49" t="inlineStr">
        <is>
          <t>아라한열처리㈜</t>
        </is>
      </c>
      <c r="C49" t="inlineStr">
        <is>
          <t>차영도</t>
        </is>
      </c>
      <c r="D49" t="inlineStr">
        <is>
          <t>경남 창녕군 대지면 우포2로 886-10</t>
        </is>
      </c>
      <c r="E49" t="inlineStr">
        <is>
          <t>055-786-8811, 055-533-1073</t>
        </is>
      </c>
      <c r="F49" t="inlineStr">
        <is>
          <t>055-786-8811</t>
        </is>
      </c>
      <c r="G49" t="inlineStr">
        <is>
          <t>055-786-8811</t>
        </is>
      </c>
      <c r="H49">
        <f>HYPERLINK("https://bizno.net/search?q=%EC%95%84%EB%9D%BC%ED%95%9C%EC%97%B4%EC%B2%98%EB%A6%AC%E3%88%9C", "비즈노 이동")</f>
        <v/>
      </c>
      <c r="I49">
        <f>HYPERLINK("https://map.naver.com/p/search/%EC%95%84%EB%9D%BC%ED%95%9C%EC%97%B4%EC%B2%98%EB%A6%AC%E3%88%9C%20%EA%B2%BD%EB%82%A8%20%EC%B0%BD%EB%85%95%EA%B5%B0%20%EB%8C%80%EC%A7%80%EB%A9%B4", "네이버지도 이동")</f>
        <v/>
      </c>
      <c r="J49">
        <f>HYPERLINK("https://www.google.com/search?q=%EC%95%84%EB%9D%BC%ED%95%9C%EC%97%B4%EC%B2%98%EB%A6%AC%E3%88%9C%20%EA%B2%BD%EB%82%A8%20%EC%B0%BD%EB%85%95%EA%B5%B0%20%EB%8C%80%EC%A7%80%EB%A9%B4+%EC%A0%84%ED%99%94%EB%B2%88%ED%98%B8", "구글검색 이동")</f>
        <v/>
      </c>
    </row>
    <row r="50">
      <c r="A50" t="n">
        <v>378</v>
      </c>
      <c r="B50" t="inlineStr">
        <is>
          <t>아이디(주)</t>
        </is>
      </c>
      <c r="C50" t="inlineStr">
        <is>
          <t>강미진</t>
        </is>
      </c>
      <c r="D50" t="inlineStr">
        <is>
          <t>경남 함안군 칠서면 공단서길 47</t>
        </is>
      </c>
      <c r="E50" t="inlineStr">
        <is>
          <t>055-587-5100</t>
        </is>
      </c>
      <c r="F50" t="inlineStr">
        <is>
          <t>055-587-5100</t>
        </is>
      </c>
      <c r="G50" t="inlineStr">
        <is>
          <t>055-587-5100</t>
        </is>
      </c>
      <c r="H50">
        <f>HYPERLINK("https://bizno.net/search?q=%EC%95%84%EC%9D%B4%EB%94%94", "비즈노 이동")</f>
        <v/>
      </c>
      <c r="I50">
        <f>HYPERLINK("https://map.naver.com/p/search/%EC%95%84%EC%9D%B4%EB%94%94%20%EA%B2%BD%EB%82%A8%20%ED%95%A8%EC%95%88%EA%B5%B0%20%EC%B9%A0%EC%84%9C%EB%A9%B4", "네이버지도 이동")</f>
        <v/>
      </c>
      <c r="J50">
        <f>HYPERLINK("https://www.google.com/search?q=%EC%95%84%EC%9D%B4%EB%94%94%20%EA%B2%BD%EB%82%A8%20%ED%95%A8%EC%95%88%EA%B5%B0%20%EC%B9%A0%EC%84%9C%EB%A9%B4+%EC%A0%84%ED%99%94%EB%B2%88%ED%98%B8", "구글검색 이동")</f>
        <v/>
      </c>
    </row>
    <row r="51">
      <c r="A51" t="n">
        <v>379</v>
      </c>
      <c r="B51" t="inlineStr">
        <is>
          <t>에스디라이팅(주)</t>
        </is>
      </c>
      <c r="C51" t="inlineStr">
        <is>
          <t>한영상</t>
        </is>
      </c>
      <c r="D51" t="inlineStr">
        <is>
          <t>경남 김해시 삼계중앙로 31</t>
        </is>
      </c>
      <c r="E51" t="inlineStr">
        <is>
          <t>055-331-7491, 055-331-7476</t>
        </is>
      </c>
      <c r="F51" t="inlineStr">
        <is>
          <t>055-331-7491, 055-331-7476</t>
        </is>
      </c>
      <c r="G51" t="inlineStr">
        <is>
          <t>055-331-7491, 055-331-7476</t>
        </is>
      </c>
      <c r="H51">
        <f>HYPERLINK("https://bizno.net/search?q=%EC%97%90%EC%8A%A4%EB%94%94%EB%9D%BC%EC%9D%B4%ED%8C%85", "비즈노 이동")</f>
        <v/>
      </c>
      <c r="I51">
        <f>HYPERLINK("https://map.naver.com/p/search/%EC%97%90%EC%8A%A4%EB%94%94%EB%9D%BC%EC%9D%B4%ED%8C%85%20%EA%B2%BD%EB%82%A8%20%EA%B9%80%ED%95%B4%EC%8B%9C%20%EC%82%BC%EA%B3%84%EC%A4%91%EC%95%99%EB%A1%9C", "네이버지도 이동")</f>
        <v/>
      </c>
      <c r="J51">
        <f>HYPERLINK("https://www.google.com/search?q=%EC%97%90%EC%8A%A4%EB%94%94%EB%9D%BC%EC%9D%B4%ED%8C%85%20%EA%B2%BD%EB%82%A8%20%EA%B9%80%ED%95%B4%EC%8B%9C%20%EC%82%BC%EA%B3%84%EC%A4%91%EC%95%99%EB%A1%9C+%EC%A0%84%ED%99%94%EB%B2%88%ED%98%B8", "구글검색 이동")</f>
        <v/>
      </c>
    </row>
    <row r="52">
      <c r="A52" t="n">
        <v>380</v>
      </c>
      <c r="B52" t="inlineStr">
        <is>
          <t>에스와이정공(주)</t>
        </is>
      </c>
      <c r="C52" t="inlineStr">
        <is>
          <t>하정자</t>
        </is>
      </c>
      <c r="D52" t="inlineStr">
        <is>
          <t>경남 함안군 가야읍 남문길 43</t>
        </is>
      </c>
      <c r="E52" t="inlineStr">
        <is>
          <t>055-602-8001, 055-583-8001</t>
        </is>
      </c>
      <c r="F52" t="inlineStr">
        <is>
          <t>055-602-8001, 055-583-8001</t>
        </is>
      </c>
      <c r="G52" t="inlineStr">
        <is>
          <t>055-602-8001, 055-583-8001</t>
        </is>
      </c>
      <c r="H52">
        <f>HYPERLINK("https://bizno.net/search?q=%EC%97%90%EC%8A%A4%EC%99%80%EC%9D%B4%EC%A0%95%EA%B3%B5", "비즈노 이동")</f>
        <v/>
      </c>
      <c r="I52">
        <f>HYPERLINK("https://map.naver.com/p/search/%EC%97%90%EC%8A%A4%EC%99%80%EC%9D%B4%EC%A0%95%EA%B3%B5%20%EA%B2%BD%EB%82%A8%20%ED%95%A8%EC%95%88%EA%B5%B0%20%EA%B0%80%EC%95%BC%EC%9D%8D", "네이버지도 이동")</f>
        <v/>
      </c>
      <c r="J52">
        <f>HYPERLINK("https://www.google.com/search?q=%EC%97%90%EC%8A%A4%EC%99%80%EC%9D%B4%EC%A0%95%EA%B3%B5%20%EA%B2%BD%EB%82%A8%20%ED%95%A8%EC%95%88%EA%B5%B0%20%EA%B0%80%EC%95%BC%EC%9D%8D+%EC%A0%84%ED%99%94%EB%B2%88%ED%98%B8", "구글검색 이동")</f>
        <v/>
      </c>
    </row>
    <row r="53">
      <c r="A53" t="n">
        <v>381</v>
      </c>
      <c r="B53" t="inlineStr">
        <is>
          <t>에스플러스(주)</t>
        </is>
      </c>
      <c r="C53" t="inlineStr">
        <is>
          <t>서연원</t>
        </is>
      </c>
      <c r="D53" t="inlineStr">
        <is>
          <t>경남 김해시 진영읍 본산로 166</t>
        </is>
      </c>
      <c r="E53" t="inlineStr">
        <is>
          <t>055-345-1069, 055-345-0006, 055-322-5112</t>
        </is>
      </c>
      <c r="F53" t="inlineStr">
        <is>
          <t>055-345-1069, 055-345-0006</t>
        </is>
      </c>
      <c r="G53" t="inlineStr">
        <is>
          <t>055-345-1069, 055-345-0006</t>
        </is>
      </c>
      <c r="H53">
        <f>HYPERLINK("https://bizno.net/search?q=%EC%97%90%EC%8A%A4%ED%94%8C%EB%9F%AC%EC%8A%A4", "비즈노 이동")</f>
        <v/>
      </c>
      <c r="I53">
        <f>HYPERLINK("https://map.naver.com/p/search/%EC%97%90%EC%8A%A4%ED%94%8C%EB%9F%AC%EC%8A%A4%20%EA%B2%BD%EB%82%A8%20%EA%B9%80%ED%95%B4%EC%8B%9C%20%EC%A7%84%EC%98%81%EC%9D%8D", "네이버지도 이동")</f>
        <v/>
      </c>
      <c r="J53">
        <f>HYPERLINK("https://www.google.com/search?q=%EC%97%90%EC%8A%A4%ED%94%8C%EB%9F%AC%EC%8A%A4%20%EA%B2%BD%EB%82%A8%20%EA%B9%80%ED%95%B4%EC%8B%9C%20%EC%A7%84%EC%98%81%EC%9D%8D+%EC%A0%84%ED%99%94%EB%B2%88%ED%98%B8", "구글검색 이동")</f>
        <v/>
      </c>
    </row>
    <row r="54">
      <c r="A54" t="n">
        <v>382</v>
      </c>
      <c r="B54" t="inlineStr">
        <is>
          <t>에이치제이에이치(주)</t>
        </is>
      </c>
      <c r="C54" t="inlineStr">
        <is>
          <t>이고은</t>
        </is>
      </c>
      <c r="D54" t="inlineStr">
        <is>
          <t>경남 김해시 진례면 송현로 74-111</t>
        </is>
      </c>
      <c r="E54" t="inlineStr">
        <is>
          <t>051-897-2198, 055-342-4602</t>
        </is>
      </c>
      <c r="F54" t="inlineStr">
        <is>
          <t>051-897-2198, 055-342-4602, 055-345-7030</t>
        </is>
      </c>
      <c r="G54" t="inlineStr">
        <is>
          <t>051-897-2198, 055-342-4602</t>
        </is>
      </c>
      <c r="H54">
        <f>HYPERLINK("https://bizno.net/search?q=%EC%97%90%EC%9D%B4%EC%B9%98%EC%A0%9C%EC%9D%B4%EC%97%90%EC%9D%B4%EC%B9%98", "비즈노 이동")</f>
        <v/>
      </c>
      <c r="I54">
        <f>HYPERLINK("https://map.naver.com/p/search/%EC%97%90%EC%9D%B4%EC%B9%98%EC%A0%9C%EC%9D%B4%EC%97%90%EC%9D%B4%EC%B9%98%20%EA%B2%BD%EB%82%A8%20%EA%B9%80%ED%95%B4%EC%8B%9C%20%EC%A7%84%EB%A1%80%EB%A9%B4", "네이버지도 이동")</f>
        <v/>
      </c>
      <c r="J54">
        <f>HYPERLINK("https://www.google.com/search?q=%EC%97%90%EC%9D%B4%EC%B9%98%EC%A0%9C%EC%9D%B4%EC%97%90%EC%9D%B4%EC%B9%98%20%EA%B2%BD%EB%82%A8%20%EA%B9%80%ED%95%B4%EC%8B%9C%20%EC%A7%84%EB%A1%80%EB%A9%B4+%EC%A0%84%ED%99%94%EB%B2%88%ED%98%B8", "구글검색 이동")</f>
        <v/>
      </c>
    </row>
    <row r="55">
      <c r="A55" t="n">
        <v>383</v>
      </c>
      <c r="B55" t="inlineStr">
        <is>
          <t>에이피엠글로벌(주)</t>
        </is>
      </c>
      <c r="C55" t="inlineStr">
        <is>
          <t>최윤호</t>
        </is>
      </c>
      <c r="D55" t="inlineStr">
        <is>
          <t>경남 창원시 성산구 남면로 121</t>
        </is>
      </c>
      <c r="E55" t="inlineStr">
        <is>
          <t>055-237-3122</t>
        </is>
      </c>
      <c r="F55" t="inlineStr">
        <is>
          <t>055-237-3122</t>
        </is>
      </c>
      <c r="G55" t="inlineStr">
        <is>
          <t>055-237-3122</t>
        </is>
      </c>
      <c r="H55">
        <f>HYPERLINK("https://bizno.net/search?q=%EC%97%90%EC%9D%B4%ED%94%BC%EC%97%A0%EA%B8%80%EB%A1%9C%EB%B2%8C", "비즈노 이동")</f>
        <v/>
      </c>
      <c r="I55">
        <f>HYPERLINK("https://map.naver.com/p/search/%EC%97%90%EC%9D%B4%ED%94%BC%EC%97%A0%EA%B8%80%EB%A1%9C%EB%B2%8C%20%EA%B2%BD%EB%82%A8%20%EC%B0%BD%EC%9B%90%EC%8B%9C%20%EC%84%B1%EC%82%B0%EA%B5%AC", "네이버지도 이동")</f>
        <v/>
      </c>
      <c r="J55">
        <f>HYPERLINK("https://www.google.com/search?q=%EC%97%90%EC%9D%B4%ED%94%BC%EC%97%A0%EA%B8%80%EB%A1%9C%EB%B2%8C%20%EA%B2%BD%EB%82%A8%20%EC%B0%BD%EC%9B%90%EC%8B%9C%20%EC%84%B1%EC%82%B0%EA%B5%AC+%EC%A0%84%ED%99%94%EB%B2%88%ED%98%B8", "구글검색 이동")</f>
        <v/>
      </c>
    </row>
    <row r="56">
      <c r="A56" t="n">
        <v>384</v>
      </c>
      <c r="B56" t="inlineStr">
        <is>
          <t>엠아이(유책)</t>
        </is>
      </c>
      <c r="C56" t="inlineStr">
        <is>
          <t>문태예</t>
        </is>
      </c>
      <c r="D56" t="inlineStr">
        <is>
          <t>경남 창원시 의창구 평산로 23</t>
        </is>
      </c>
      <c r="E56" t="inlineStr">
        <is>
          <t>055-267-2311, 055-286-7886</t>
        </is>
      </c>
      <c r="F56" t="inlineStr">
        <is>
          <t>055-267-2311, 055-286-7886</t>
        </is>
      </c>
      <c r="G56" t="inlineStr">
        <is>
          <t>055-267-2311, 055-286-7886</t>
        </is>
      </c>
      <c r="H56">
        <f>HYPERLINK("https://bizno.net/search?q=%EC%97%A0%EC%95%84%EC%9D%B4%28%EC%9C%A0%EC%B1%85%29", "비즈노 이동")</f>
        <v/>
      </c>
      <c r="I56">
        <f>HYPERLINK("https://map.naver.com/p/search/%EC%97%A0%EC%95%84%EC%9D%B4%28%EC%9C%A0%EC%B1%85%29%20%EA%B2%BD%EB%82%A8%20%EC%B0%BD%EC%9B%90%EC%8B%9C%20%EC%9D%98%EC%B0%BD%EA%B5%AC", "네이버지도 이동")</f>
        <v/>
      </c>
      <c r="J56">
        <f>HYPERLINK("https://www.google.com/search?q=%EC%97%A0%EC%95%84%EC%9D%B4%28%EC%9C%A0%EC%B1%85%29%20%EA%B2%BD%EB%82%A8%20%EC%B0%BD%EC%9B%90%EC%8B%9C%20%EC%9D%98%EC%B0%BD%EA%B5%AC+%EC%A0%84%ED%99%94%EB%B2%88%ED%98%B8", "구글검색 이동")</f>
        <v/>
      </c>
    </row>
    <row r="57">
      <c r="A57" t="n">
        <v>385</v>
      </c>
      <c r="B57" t="inlineStr">
        <is>
          <t>엠와이테크(주)</t>
        </is>
      </c>
      <c r="C57" t="inlineStr">
        <is>
          <t>박미연</t>
        </is>
      </c>
      <c r="D57" t="inlineStr">
        <is>
          <t>경남 김해시 진례면 고모로146번길 29</t>
        </is>
      </c>
      <c r="E57" t="inlineStr">
        <is>
          <t>055-723-2886</t>
        </is>
      </c>
      <c r="F57" t="inlineStr">
        <is>
          <t>055-723-2886</t>
        </is>
      </c>
      <c r="G57" t="inlineStr">
        <is>
          <t>055-723-2886</t>
        </is>
      </c>
      <c r="H57">
        <f>HYPERLINK("https://bizno.net/search?q=%EC%97%A0%EC%99%80%EC%9D%B4%ED%85%8C%ED%81%AC", "비즈노 이동")</f>
        <v/>
      </c>
      <c r="I57">
        <f>HYPERLINK("https://map.naver.com/p/search/%EC%97%A0%EC%99%80%EC%9D%B4%ED%85%8C%ED%81%AC%20%EA%B2%BD%EB%82%A8%20%EA%B9%80%ED%95%B4%EC%8B%9C%20%EC%A7%84%EB%A1%80%EB%A9%B4", "네이버지도 이동")</f>
        <v/>
      </c>
      <c r="J57">
        <f>HYPERLINK("https://www.google.com/search?q=%EC%97%A0%EC%99%80%EC%9D%B4%ED%85%8C%ED%81%AC%20%EA%B2%BD%EB%82%A8%20%EA%B9%80%ED%95%B4%EC%8B%9C%20%EC%A7%84%EB%A1%80%EB%A9%B4+%EC%A0%84%ED%99%94%EB%B2%88%ED%98%B8", "구글검색 이동")</f>
        <v/>
      </c>
    </row>
    <row r="58">
      <c r="A58" t="n">
        <v>386</v>
      </c>
      <c r="B58" t="inlineStr">
        <is>
          <t>엠케이이앤에스(주)</t>
        </is>
      </c>
      <c r="C58" t="inlineStr">
        <is>
          <t>권정숙</t>
        </is>
      </c>
      <c r="D58" t="inlineStr">
        <is>
          <t>경남 진주시 동진로 29</t>
        </is>
      </c>
      <c r="E58" t="inlineStr">
        <is>
          <t>010-7463-7717</t>
        </is>
      </c>
      <c r="F58" t="inlineStr">
        <is>
          <t>010-7463-7717</t>
        </is>
      </c>
      <c r="G58" t="inlineStr">
        <is>
          <t>010-7463-7717</t>
        </is>
      </c>
      <c r="H58">
        <f>HYPERLINK("https://bizno.net/search?q=%EC%97%A0%EC%BC%80%EC%9D%B4%EC%9D%B4%EC%95%A4%EC%97%90%EC%8A%A4", "비즈노 이동")</f>
        <v/>
      </c>
      <c r="I58">
        <f>HYPERLINK("https://map.naver.com/p/search/%EC%97%A0%EC%BC%80%EC%9D%B4%EC%9D%B4%EC%95%A4%EC%97%90%EC%8A%A4%20%EA%B2%BD%EB%82%A8%20%EC%A7%84%EC%A3%BC%EC%8B%9C%20%EB%8F%99%EC%A7%84%EB%A1%9C", "네이버지도 이동")</f>
        <v/>
      </c>
      <c r="J58">
        <f>HYPERLINK("https://www.google.com/search?q=%EC%97%A0%EC%BC%80%EC%9D%B4%EC%9D%B4%EC%95%A4%EC%97%90%EC%8A%A4%20%EA%B2%BD%EB%82%A8%20%EC%A7%84%EC%A3%BC%EC%8B%9C%20%EB%8F%99%EC%A7%84%EB%A1%9C+%EC%A0%84%ED%99%94%EB%B2%88%ED%98%B8", "구글검색 이동")</f>
        <v/>
      </c>
    </row>
    <row r="59">
      <c r="A59" t="n">
        <v>387</v>
      </c>
      <c r="B59" t="inlineStr">
        <is>
          <t>영백기업(주)</t>
        </is>
      </c>
      <c r="C59" t="inlineStr">
        <is>
          <t>강태수</t>
        </is>
      </c>
      <c r="D59" t="inlineStr">
        <is>
          <t>경남 고성군 동해면 내산3길 51-1</t>
        </is>
      </c>
      <c r="E59" t="inlineStr">
        <is>
          <t>070-5088-1142, 055-673-7014</t>
        </is>
      </c>
      <c r="F59" t="inlineStr">
        <is>
          <t>070-5088-1142, 055-673-7014</t>
        </is>
      </c>
      <c r="G59" t="inlineStr">
        <is>
          <t>070-5088-1142, 055-673-7014</t>
        </is>
      </c>
      <c r="H59">
        <f>HYPERLINK("https://bizno.net/search?q=%EC%98%81%EB%B0%B1%EA%B8%B0%EC%97%85", "비즈노 이동")</f>
        <v/>
      </c>
      <c r="I59">
        <f>HYPERLINK("https://map.naver.com/p/search/%EC%98%81%EB%B0%B1%EA%B8%B0%EC%97%85%20%EA%B2%BD%EB%82%A8%20%EA%B3%A0%EC%84%B1%EA%B5%B0%20%EB%8F%99%ED%95%B4%EB%A9%B4", "네이버지도 이동")</f>
        <v/>
      </c>
      <c r="J59">
        <f>HYPERLINK("https://www.google.com/search?q=%EC%98%81%EB%B0%B1%EA%B8%B0%EC%97%85%20%EA%B2%BD%EB%82%A8%20%EA%B3%A0%EC%84%B1%EA%B5%B0%20%EB%8F%99%ED%95%B4%EB%A9%B4+%EC%A0%84%ED%99%94%EB%B2%88%ED%98%B8", "구글검색 이동")</f>
        <v/>
      </c>
    </row>
    <row r="60">
      <c r="A60" t="n">
        <v>388</v>
      </c>
      <c r="B60" t="inlineStr">
        <is>
          <t>영빈테크(주)</t>
        </is>
      </c>
      <c r="C60" t="inlineStr">
        <is>
          <t>김차호</t>
        </is>
      </c>
      <c r="D60" t="inlineStr">
        <is>
          <t>경남 양산시 산막공단남11길 65</t>
        </is>
      </c>
      <c r="E60" t="inlineStr">
        <is>
          <t>055-730-9359, 055-763-2172</t>
        </is>
      </c>
      <c r="F60" t="inlineStr">
        <is>
          <t>055-730-9359</t>
        </is>
      </c>
      <c r="G60" t="inlineStr">
        <is>
          <t>055-730-9359</t>
        </is>
      </c>
      <c r="H60">
        <f>HYPERLINK("https://bizno.net/search?q=%EC%98%81%EB%B9%88%ED%85%8C%ED%81%AC", "비즈노 이동")</f>
        <v/>
      </c>
      <c r="I60">
        <f>HYPERLINK("https://map.naver.com/p/search/%EC%98%81%EB%B9%88%ED%85%8C%ED%81%AC%20%EA%B2%BD%EB%82%A8%20%EC%96%91%EC%82%B0%EC%8B%9C%20%EC%82%B0%EB%A7%89%EA%B3%B5%EB%8B%A8%EB%82%A811%EA%B8%B8", "네이버지도 이동")</f>
        <v/>
      </c>
      <c r="J60">
        <f>HYPERLINK("https://www.google.com/search?q=%EC%98%81%EB%B9%88%ED%85%8C%ED%81%AC%20%EA%B2%BD%EB%82%A8%20%EC%96%91%EC%82%B0%EC%8B%9C%20%EC%82%B0%EB%A7%89%EA%B3%B5%EB%8B%A8%EB%82%A811%EA%B8%B8+%EC%A0%84%ED%99%94%EB%B2%88%ED%98%B8", "구글검색 이동")</f>
        <v/>
      </c>
    </row>
    <row r="61">
      <c r="A61" t="n">
        <v>389</v>
      </c>
      <c r="B61" t="inlineStr">
        <is>
          <t>영진산업(주)</t>
        </is>
      </c>
      <c r="C61" t="inlineStr">
        <is>
          <t>김영수</t>
        </is>
      </c>
      <c r="D61" t="inlineStr">
        <is>
          <t>경남 창원시 마산합포구 진북면 추곡1길 40</t>
        </is>
      </c>
      <c r="E61" t="inlineStr">
        <is>
          <t>055-271-6052, 055-255-2983, 055-237-0136</t>
        </is>
      </c>
      <c r="F61" t="inlineStr">
        <is>
          <t>055-271-6052, 055-237-0136</t>
        </is>
      </c>
      <c r="G61" t="inlineStr">
        <is>
          <t>055-271-6052, 055-237-0136</t>
        </is>
      </c>
      <c r="H61">
        <f>HYPERLINK("https://bizno.net/search?q=%EC%98%81%EC%A7%84%EC%82%B0%EC%97%85", "비즈노 이동")</f>
        <v/>
      </c>
      <c r="I61">
        <f>HYPERLINK("https://map.naver.com/p/search/%EC%98%81%EC%A7%84%EC%82%B0%EC%97%85%20%EA%B2%BD%EB%82%A8%20%EC%B0%BD%EC%9B%90%EC%8B%9C%20%EB%A7%88%EC%82%B0%ED%95%A9%ED%8F%AC%EA%B5%AC", "네이버지도 이동")</f>
        <v/>
      </c>
      <c r="J61">
        <f>HYPERLINK("https://www.google.com/search?q=%EC%98%81%EC%A7%84%EC%82%B0%EC%97%85%20%EA%B2%BD%EB%82%A8%20%EC%B0%BD%EC%9B%90%EC%8B%9C%20%EB%A7%88%EC%82%B0%ED%95%A9%ED%8F%AC%EA%B5%AC+%EC%A0%84%ED%99%94%EB%B2%88%ED%98%B8", "구글검색 이동")</f>
        <v/>
      </c>
    </row>
    <row r="62">
      <c r="A62" t="n">
        <v>390</v>
      </c>
      <c r="B62" t="inlineStr">
        <is>
          <t>영텍(주)</t>
        </is>
      </c>
      <c r="C62" t="inlineStr">
        <is>
          <t>소영식</t>
        </is>
      </c>
      <c r="D62" t="inlineStr">
        <is>
          <t>경남 창원시 성산구 공단로271번길11</t>
        </is>
      </c>
      <c r="E62" t="inlineStr">
        <is>
          <t>055-274-3991, 055-213-7300, 055-281-7401, 055-281-2581</t>
        </is>
      </c>
      <c r="F62" t="inlineStr">
        <is>
          <t>055-274-3991, 055-213-7300, 055-281-7401, 055-281-2581</t>
        </is>
      </c>
      <c r="G62" t="inlineStr">
        <is>
          <t>055-274-3991, 055-213-7300</t>
        </is>
      </c>
      <c r="H62">
        <f>HYPERLINK("https://bizno.net/search?q=%EC%98%81%ED%85%8D", "비즈노 이동")</f>
        <v/>
      </c>
      <c r="I62">
        <f>HYPERLINK("https://map.naver.com/p/search/%EC%98%81%ED%85%8D%20%EA%B2%BD%EB%82%A8%20%EC%B0%BD%EC%9B%90%EC%8B%9C%20%EC%84%B1%EC%82%B0%EA%B5%AC", "네이버지도 이동")</f>
        <v/>
      </c>
      <c r="J62">
        <f>HYPERLINK("https://www.google.com/search?q=%EC%98%81%ED%85%8D%20%EA%B2%BD%EB%82%A8%20%EC%B0%BD%EC%9B%90%EC%8B%9C%20%EC%84%B1%EC%82%B0%EA%B5%AC+%EC%A0%84%ED%99%94%EB%B2%88%ED%98%B8", "구글검색 이동")</f>
        <v/>
      </c>
    </row>
    <row r="63">
      <c r="A63" t="n">
        <v>391</v>
      </c>
      <c r="B63" t="inlineStr">
        <is>
          <t>우리테크놀리지(주)</t>
        </is>
      </c>
      <c r="C63" t="inlineStr">
        <is>
          <t>김지태</t>
        </is>
      </c>
      <c r="D63" t="inlineStr">
        <is>
          <t>경남 창원시 성산구 정동로162번길 40</t>
        </is>
      </c>
      <c r="E63" t="inlineStr">
        <is>
          <t>055-281-7450</t>
        </is>
      </c>
      <c r="F63" t="inlineStr">
        <is>
          <t>055-281-7450</t>
        </is>
      </c>
      <c r="G63" t="inlineStr">
        <is>
          <t>055-281-7450</t>
        </is>
      </c>
      <c r="H63">
        <f>HYPERLINK("https://bizno.net/search?q=%EC%9A%B0%EB%A6%AC%ED%85%8C%ED%81%AC%EB%86%80%EB%A6%AC%EC%A7%80", "비즈노 이동")</f>
        <v/>
      </c>
      <c r="I63">
        <f>HYPERLINK("https://map.naver.com/p/search/%EC%9A%B0%EB%A6%AC%ED%85%8C%ED%81%AC%EB%86%80%EB%A6%AC%EC%A7%80%20%EA%B2%BD%EB%82%A8%20%EC%B0%BD%EC%9B%90%EC%8B%9C%20%EC%84%B1%EC%82%B0%EA%B5%AC", "네이버지도 이동")</f>
        <v/>
      </c>
      <c r="J63">
        <f>HYPERLINK("https://www.google.com/search?q=%EC%9A%B0%EB%A6%AC%ED%85%8C%ED%81%AC%EB%86%80%EB%A6%AC%EC%A7%80%20%EA%B2%BD%EB%82%A8%20%EC%B0%BD%EC%9B%90%EC%8B%9C%20%EC%84%B1%EC%82%B0%EA%B5%AC+%EC%A0%84%ED%99%94%EB%B2%88%ED%98%B8", "구글검색 이동")</f>
        <v/>
      </c>
    </row>
    <row r="64">
      <c r="A64" t="n">
        <v>392</v>
      </c>
      <c r="B64" t="inlineStr">
        <is>
          <t>우림정공(주)</t>
        </is>
      </c>
      <c r="C64" t="inlineStr">
        <is>
          <t>우동호</t>
        </is>
      </c>
      <c r="D64" t="inlineStr">
        <is>
          <t>경남 함안군 법수면 법수로 358-25</t>
        </is>
      </c>
      <c r="E64" t="inlineStr">
        <is>
          <t>없음</t>
        </is>
      </c>
      <c r="F64" t="inlineStr">
        <is>
          <t>없음</t>
        </is>
      </c>
      <c r="G64" t="inlineStr">
        <is>
          <t>확인불가/없음</t>
        </is>
      </c>
      <c r="H64">
        <f>HYPERLINK("https://bizno.net/search?q=%EC%9A%B0%EB%A6%BC%EC%A0%95%EA%B3%B5", "비즈노 이동")</f>
        <v/>
      </c>
      <c r="I64">
        <f>HYPERLINK("https://map.naver.com/p/search/%EC%9A%B0%EB%A6%BC%EC%A0%95%EA%B3%B5%20%EA%B2%BD%EB%82%A8%20%ED%95%A8%EC%95%88%EA%B5%B0%20%EB%B2%95%EC%88%98%EB%A9%B4", "네이버지도 이동")</f>
        <v/>
      </c>
      <c r="J64">
        <f>HYPERLINK("https://www.google.com/search?q=%EC%9A%B0%EB%A6%BC%EC%A0%95%EA%B3%B5%20%EA%B2%BD%EB%82%A8%20%ED%95%A8%EC%95%88%EA%B5%B0%20%EB%B2%95%EC%88%98%EB%A9%B4+%EC%A0%84%ED%99%94%EB%B2%88%ED%98%B8", "구글검색 이동")</f>
        <v/>
      </c>
    </row>
    <row r="65">
      <c r="A65" t="n">
        <v>393</v>
      </c>
      <c r="B65" t="inlineStr">
        <is>
          <t>유진산업개발(주)</t>
        </is>
      </c>
      <c r="C65" t="inlineStr">
        <is>
          <t>박성용</t>
        </is>
      </c>
      <c r="D65" t="inlineStr">
        <is>
          <t>경남 양산시 평산10길 15</t>
        </is>
      </c>
      <c r="E65" t="inlineStr">
        <is>
          <t>055-365-7369, 051-865-0237</t>
        </is>
      </c>
      <c r="F65" t="inlineStr">
        <is>
          <t>055-365-7369, 051-865-0237</t>
        </is>
      </c>
      <c r="G65" t="inlineStr">
        <is>
          <t>055-365-7369, 051-865-0237</t>
        </is>
      </c>
      <c r="H65">
        <f>HYPERLINK("https://bizno.net/search?q=%EC%9C%A0%EC%A7%84%EC%82%B0%EC%97%85%EA%B0%9C%EB%B0%9C", "비즈노 이동")</f>
        <v/>
      </c>
      <c r="I65">
        <f>HYPERLINK("https://map.naver.com/p/search/%EC%9C%A0%EC%A7%84%EC%82%B0%EC%97%85%EA%B0%9C%EB%B0%9C%20%EA%B2%BD%EB%82%A8%20%EC%96%91%EC%82%B0%EC%8B%9C%20%ED%8F%89%EC%82%B010%EA%B8%B8", "네이버지도 이동")</f>
        <v/>
      </c>
      <c r="J65">
        <f>HYPERLINK("https://www.google.com/search?q=%EC%9C%A0%EC%A7%84%EC%82%B0%EC%97%85%EA%B0%9C%EB%B0%9C%20%EA%B2%BD%EB%82%A8%20%EC%96%91%EC%82%B0%EC%8B%9C%20%ED%8F%89%EC%82%B010%EA%B8%B8+%EC%A0%84%ED%99%94%EB%B2%88%ED%98%B8", "구글검색 이동")</f>
        <v/>
      </c>
    </row>
    <row r="66">
      <c r="A66" t="n">
        <v>394</v>
      </c>
      <c r="B66" t="inlineStr">
        <is>
          <t>윤영알앤피산업(주)</t>
        </is>
      </c>
      <c r="C66" t="inlineStr">
        <is>
          <t>이점옥</t>
        </is>
      </c>
      <c r="D66" t="inlineStr">
        <is>
          <t>경남 양산시 상북면 수서로 361-3</t>
        </is>
      </c>
      <c r="E66" t="inlineStr">
        <is>
          <t>055-374-1190</t>
        </is>
      </c>
      <c r="F66" t="inlineStr">
        <is>
          <t>055-374-1190</t>
        </is>
      </c>
      <c r="G66" t="inlineStr">
        <is>
          <t>055-374-1190</t>
        </is>
      </c>
      <c r="H66">
        <f>HYPERLINK("https://bizno.net/search?q=%EC%9C%A4%EC%98%81%EC%95%8C%EC%95%A4%ED%94%BC%EC%82%B0%EC%97%85", "비즈노 이동")</f>
        <v/>
      </c>
      <c r="I66">
        <f>HYPERLINK("https://map.naver.com/p/search/%EC%9C%A4%EC%98%81%EC%95%8C%EC%95%A4%ED%94%BC%EC%82%B0%EC%97%85%20%EA%B2%BD%EB%82%A8%20%EC%96%91%EC%82%B0%EC%8B%9C%20%EC%83%81%EB%B6%81%EB%A9%B4", "네이버지도 이동")</f>
        <v/>
      </c>
      <c r="J66">
        <f>HYPERLINK("https://www.google.com/search?q=%EC%9C%A4%EC%98%81%EC%95%8C%EC%95%A4%ED%94%BC%EC%82%B0%EC%97%85%20%EA%B2%BD%EB%82%A8%20%EC%96%91%EC%82%B0%EC%8B%9C%20%EC%83%81%EB%B6%81%EB%A9%B4+%EC%A0%84%ED%99%94%EB%B2%88%ED%98%B8", "구글검색 이동")</f>
        <v/>
      </c>
    </row>
    <row r="67">
      <c r="A67" t="n">
        <v>395</v>
      </c>
      <c r="B67" t="inlineStr">
        <is>
          <t>윤테크(주)</t>
        </is>
      </c>
      <c r="C67" t="inlineStr">
        <is>
          <t>이승윤</t>
        </is>
      </c>
      <c r="D67" t="inlineStr">
        <is>
          <t>경남 김해시 상동면 상동로375번길 80-79</t>
        </is>
      </c>
      <c r="E67" t="inlineStr">
        <is>
          <t>010-4194-2113, 055-346-4558</t>
        </is>
      </c>
      <c r="F67" t="inlineStr">
        <is>
          <t>010-4194-2113, 055-346-4558</t>
        </is>
      </c>
      <c r="G67" t="inlineStr">
        <is>
          <t>010-4194-2113, 055-346-4558</t>
        </is>
      </c>
      <c r="H67">
        <f>HYPERLINK("https://bizno.net/search?q=%EC%9C%A4%ED%85%8C%ED%81%AC", "비즈노 이동")</f>
        <v/>
      </c>
      <c r="I67">
        <f>HYPERLINK("https://map.naver.com/p/search/%EC%9C%A4%ED%85%8C%ED%81%AC%20%EA%B2%BD%EB%82%A8%20%EA%B9%80%ED%95%B4%EC%8B%9C%20%EC%83%81%EB%8F%99%EB%A9%B4", "네이버지도 이동")</f>
        <v/>
      </c>
      <c r="J67">
        <f>HYPERLINK("https://www.google.com/search?q=%EC%9C%A4%ED%85%8C%ED%81%AC%20%EA%B2%BD%EB%82%A8%20%EA%B9%80%ED%95%B4%EC%8B%9C%20%EC%83%81%EB%8F%99%EB%A9%B4+%EC%A0%84%ED%99%94%EB%B2%88%ED%98%B8", "구글검색 이동")</f>
        <v/>
      </c>
    </row>
    <row r="68">
      <c r="A68" t="n">
        <v>396</v>
      </c>
      <c r="B68" t="inlineStr">
        <is>
          <t>이샵(주)</t>
        </is>
      </c>
      <c r="C68" t="inlineStr">
        <is>
          <t>김태효</t>
        </is>
      </c>
      <c r="D68" t="inlineStr">
        <is>
          <t>경남 김해시 장유로89번길 5</t>
        </is>
      </c>
      <c r="E68" t="inlineStr">
        <is>
          <t>070-7719-7975, 010-5762-9522, 05-762-0952</t>
        </is>
      </c>
      <c r="F68" t="inlineStr">
        <is>
          <t>070-7719-7975, 010-5762-9522</t>
        </is>
      </c>
      <c r="G68" t="inlineStr">
        <is>
          <t>070-7719-7975, 010-5762-9522</t>
        </is>
      </c>
      <c r="H68">
        <f>HYPERLINK("https://bizno.net/search?q=%EC%9D%B4%EC%83%B5", "비즈노 이동")</f>
        <v/>
      </c>
      <c r="I68">
        <f>HYPERLINK("https://map.naver.com/p/search/%EC%9D%B4%EC%83%B5%20%EA%B2%BD%EB%82%A8%20%EA%B9%80%ED%95%B4%EC%8B%9C%20%EC%9E%A5%EC%9C%A0%EB%A1%9C89%EB%B2%88%EA%B8%B8", "네이버지도 이동")</f>
        <v/>
      </c>
      <c r="J68">
        <f>HYPERLINK("https://www.google.com/search?q=%EC%9D%B4%EC%83%B5%20%EA%B2%BD%EB%82%A8%20%EA%B9%80%ED%95%B4%EC%8B%9C%20%EC%9E%A5%EC%9C%A0%EB%A1%9C89%EB%B2%88%EA%B8%B8+%EC%A0%84%ED%99%94%EB%B2%88%ED%98%B8", "구글검색 이동")</f>
        <v/>
      </c>
    </row>
    <row r="69">
      <c r="A69" t="n">
        <v>397</v>
      </c>
      <c r="B69" t="inlineStr">
        <is>
          <t>인성스틸(주)</t>
        </is>
      </c>
      <c r="C69" t="inlineStr">
        <is>
          <t>성용원</t>
        </is>
      </c>
      <c r="D69" t="inlineStr">
        <is>
          <t>경남 창녕군 대합면 도개길 59</t>
        </is>
      </c>
      <c r="E69" t="inlineStr">
        <is>
          <t>없음</t>
        </is>
      </c>
      <c r="F69" t="inlineStr">
        <is>
          <t>없음</t>
        </is>
      </c>
      <c r="G69" t="inlineStr">
        <is>
          <t>확인불가/없음</t>
        </is>
      </c>
      <c r="H69">
        <f>HYPERLINK("https://bizno.net/search?q=%EC%9D%B8%EC%84%B1%EC%8A%A4%ED%8B%B8", "비즈노 이동")</f>
        <v/>
      </c>
      <c r="I69">
        <f>HYPERLINK("https://map.naver.com/p/search/%EC%9D%B8%EC%84%B1%EC%8A%A4%ED%8B%B8%20%EA%B2%BD%EB%82%A8%20%EC%B0%BD%EB%85%95%EA%B5%B0%20%EB%8C%80%ED%95%A9%EB%A9%B4", "네이버지도 이동")</f>
        <v/>
      </c>
      <c r="J69">
        <f>HYPERLINK("https://www.google.com/search?q=%EC%9D%B8%EC%84%B1%EC%8A%A4%ED%8B%B8%20%EA%B2%BD%EB%82%A8%20%EC%B0%BD%EB%85%95%EA%B5%B0%20%EB%8C%80%ED%95%A9%EB%A9%B4+%EC%A0%84%ED%99%94%EB%B2%88%ED%98%B8", "구글검색 이동")</f>
        <v/>
      </c>
    </row>
    <row r="70">
      <c r="A70" t="n">
        <v>398</v>
      </c>
      <c r="B70" t="inlineStr">
        <is>
          <t>정성테크</t>
        </is>
      </c>
      <c r="C70" t="inlineStr">
        <is>
          <t>정영빈</t>
        </is>
      </c>
      <c r="D70" t="inlineStr">
        <is>
          <t>경남 함안군 칠서면 삼칠로 710-2</t>
        </is>
      </c>
      <c r="E70" t="inlineStr">
        <is>
          <t>055-587-2127</t>
        </is>
      </c>
      <c r="F70" t="inlineStr">
        <is>
          <t>055-587-2127</t>
        </is>
      </c>
      <c r="G70" t="inlineStr">
        <is>
          <t>055-587-2127</t>
        </is>
      </c>
      <c r="H70">
        <f>HYPERLINK("https://bizno.net/search?q=%EC%A0%95%EC%84%B1%ED%85%8C%ED%81%AC", "비즈노 이동")</f>
        <v/>
      </c>
      <c r="I70">
        <f>HYPERLINK("https://map.naver.com/p/search/%EC%A0%95%EC%84%B1%ED%85%8C%ED%81%AC%20%EA%B2%BD%EB%82%A8%20%ED%95%A8%EC%95%88%EA%B5%B0%20%EC%B9%A0%EC%84%9C%EB%A9%B4", "네이버지도 이동")</f>
        <v/>
      </c>
      <c r="J70">
        <f>HYPERLINK("https://www.google.com/search?q=%EC%A0%95%EC%84%B1%ED%85%8C%ED%81%AC%20%EA%B2%BD%EB%82%A8%20%ED%95%A8%EC%95%88%EA%B5%B0%20%EC%B9%A0%EC%84%9C%EB%A9%B4+%EC%A0%84%ED%99%94%EB%B2%88%ED%98%B8", "구글검색 이동")</f>
        <v/>
      </c>
    </row>
    <row r="71">
      <c r="A71" t="n">
        <v>399</v>
      </c>
      <c r="B71" t="inlineStr">
        <is>
          <t>정일산업(주)</t>
        </is>
      </c>
      <c r="C71" t="inlineStr">
        <is>
          <t>김동연</t>
        </is>
      </c>
      <c r="D71" t="inlineStr">
        <is>
          <t>경남 창원시 성산구 완암로 50, 메카동 719호</t>
        </is>
      </c>
      <c r="E71" t="inlineStr">
        <is>
          <t>055-277-0945</t>
        </is>
      </c>
      <c r="F71" t="inlineStr">
        <is>
          <t>055-277-0945</t>
        </is>
      </c>
      <c r="G71" t="inlineStr">
        <is>
          <t>055-277-0945</t>
        </is>
      </c>
      <c r="H71">
        <f>HYPERLINK("https://bizno.net/search?q=%EC%A0%95%EC%9D%BC%EC%82%B0%EC%97%85", "비즈노 이동")</f>
        <v/>
      </c>
      <c r="I71">
        <f>HYPERLINK("https://map.naver.com/p/search/%EC%A0%95%EC%9D%BC%EC%82%B0%EC%97%85%20%EA%B2%BD%EB%82%A8%20%EC%B0%BD%EC%9B%90%EC%8B%9C%20%EC%84%B1%EC%82%B0%EA%B5%AC", "네이버지도 이동")</f>
        <v/>
      </c>
      <c r="J71">
        <f>HYPERLINK("https://www.google.com/search?q=%EC%A0%95%EC%9D%BC%EC%82%B0%EC%97%85%20%EA%B2%BD%EB%82%A8%20%EC%B0%BD%EC%9B%90%EC%8B%9C%20%EC%84%B1%EC%82%B0%EA%B5%AC+%EC%A0%84%ED%99%94%EB%B2%88%ED%98%B8", "구글검색 이동")</f>
        <v/>
      </c>
    </row>
    <row r="72">
      <c r="A72" t="n">
        <v>400</v>
      </c>
      <c r="B72" t="inlineStr">
        <is>
          <t>제이앤엘코리아(주)</t>
        </is>
      </c>
      <c r="C72" t="inlineStr">
        <is>
          <t>이동진</t>
        </is>
      </c>
      <c r="D72" t="inlineStr">
        <is>
          <t>경남 창원시 마산회원구 봉암공단11길 51-1</t>
        </is>
      </c>
      <c r="E72" t="inlineStr">
        <is>
          <t>055-222-9889</t>
        </is>
      </c>
      <c r="F72" t="inlineStr">
        <is>
          <t>055-222-9889</t>
        </is>
      </c>
      <c r="G72" t="inlineStr">
        <is>
          <t>055-222-9889</t>
        </is>
      </c>
      <c r="H72">
        <f>HYPERLINK("https://bizno.net/search?q=%EC%A0%9C%EC%9D%B4%EC%95%A4%EC%97%98%EC%BD%94%EB%A6%AC%EC%95%84", "비즈노 이동")</f>
        <v/>
      </c>
      <c r="I72">
        <f>HYPERLINK("https://map.naver.com/p/search/%EC%A0%9C%EC%9D%B4%EC%95%A4%EC%97%98%EC%BD%94%EB%A6%AC%EC%95%84%20%EA%B2%BD%EB%82%A8%20%EC%B0%BD%EC%9B%90%EC%8B%9C%20%EB%A7%88%EC%82%B0%ED%9A%8C%EC%9B%90%EA%B5%AC", "네이버지도 이동")</f>
        <v/>
      </c>
      <c r="J72">
        <f>HYPERLINK("https://www.google.com/search?q=%EC%A0%9C%EC%9D%B4%EC%95%A4%EC%97%98%EC%BD%94%EB%A6%AC%EC%95%84%20%EA%B2%BD%EB%82%A8%20%EC%B0%BD%EC%9B%90%EC%8B%9C%20%EB%A7%88%EC%82%B0%ED%9A%8C%EC%9B%90%EA%B5%AC+%EC%A0%84%ED%99%94%EB%B2%88%ED%98%B8", "구글검색 이동")</f>
        <v/>
      </c>
    </row>
    <row r="73">
      <c r="A73" t="n">
        <v>401</v>
      </c>
      <c r="B73" t="inlineStr">
        <is>
          <t>제일스틸(주)</t>
        </is>
      </c>
      <c r="C73" t="inlineStr">
        <is>
          <t>이승재</t>
        </is>
      </c>
      <c r="D73" t="inlineStr">
        <is>
          <t>경남 양산시 상북면 석계산단2길 96</t>
        </is>
      </c>
      <c r="E73" t="inlineStr">
        <is>
          <t>055-374-5678</t>
        </is>
      </c>
      <c r="F73" t="inlineStr">
        <is>
          <t>055-374-5678</t>
        </is>
      </c>
      <c r="G73" t="inlineStr">
        <is>
          <t>055-374-5678</t>
        </is>
      </c>
      <c r="H73">
        <f>HYPERLINK("https://bizno.net/search?q=%EC%A0%9C%EC%9D%BC%EC%8A%A4%ED%8B%B8", "비즈노 이동")</f>
        <v/>
      </c>
      <c r="I73">
        <f>HYPERLINK("https://map.naver.com/p/search/%EC%A0%9C%EC%9D%BC%EC%8A%A4%ED%8B%B8%20%EA%B2%BD%EB%82%A8%20%EC%96%91%EC%82%B0%EC%8B%9C%20%EC%83%81%EB%B6%81%EB%A9%B4", "네이버지도 이동")</f>
        <v/>
      </c>
      <c r="J73">
        <f>HYPERLINK("https://www.google.com/search?q=%EC%A0%9C%EC%9D%BC%EC%8A%A4%ED%8B%B8%20%EA%B2%BD%EB%82%A8%20%EC%96%91%EC%82%B0%EC%8B%9C%20%EC%83%81%EB%B6%81%EB%A9%B4+%EC%A0%84%ED%99%94%EB%B2%88%ED%98%B8", "구글검색 이동")</f>
        <v/>
      </c>
    </row>
    <row r="74">
      <c r="A74" t="n">
        <v>402</v>
      </c>
      <c r="B74" t="inlineStr">
        <is>
          <t>조선시대(주)</t>
        </is>
      </c>
      <c r="C74" t="inlineStr">
        <is>
          <t>전성원</t>
        </is>
      </c>
      <c r="D74" t="inlineStr">
        <is>
          <t>경남 창원시 마산합포구 구산면 안녕로 301</t>
        </is>
      </c>
      <c r="E74" t="inlineStr">
        <is>
          <t>051-610-7184</t>
        </is>
      </c>
      <c r="F74" t="inlineStr">
        <is>
          <t>없음</t>
        </is>
      </c>
      <c r="G74" t="inlineStr">
        <is>
          <t>051-610-7184</t>
        </is>
      </c>
      <c r="H74">
        <f>HYPERLINK("https://bizno.net/search?q=%EC%A1%B0%EC%84%A0%EC%8B%9C%EB%8C%80", "비즈노 이동")</f>
        <v/>
      </c>
      <c r="I74">
        <f>HYPERLINK("https://map.naver.com/p/search/%EC%A1%B0%EC%84%A0%EC%8B%9C%EB%8C%80%20%EA%B2%BD%EB%82%A8%20%EC%B0%BD%EC%9B%90%EC%8B%9C%20%EB%A7%88%EC%82%B0%ED%95%A9%ED%8F%AC%EA%B5%AC", "네이버지도 이동")</f>
        <v/>
      </c>
      <c r="J74">
        <f>HYPERLINK("https://www.google.com/search?q=%EC%A1%B0%EC%84%A0%EC%8B%9C%EB%8C%80%20%EA%B2%BD%EB%82%A8%20%EC%B0%BD%EC%9B%90%EC%8B%9C%20%EB%A7%88%EC%82%B0%ED%95%A9%ED%8F%AC%EA%B5%AC+%EC%A0%84%ED%99%94%EB%B2%88%ED%98%B8", "구글검색 이동")</f>
        <v/>
      </c>
    </row>
    <row r="75">
      <c r="A75" t="n">
        <v>403</v>
      </c>
      <c r="B75" t="inlineStr">
        <is>
          <t>주시회사메리트</t>
        </is>
      </c>
      <c r="C75" t="inlineStr">
        <is>
          <t>김은아</t>
        </is>
      </c>
      <c r="D75" t="inlineStr">
        <is>
          <t>경남 김해시 삼문로 26</t>
        </is>
      </c>
      <c r="E75" t="inlineStr">
        <is>
          <t>055-329-4857</t>
        </is>
      </c>
      <c r="F75" t="inlineStr">
        <is>
          <t>055-329-4857</t>
        </is>
      </c>
      <c r="G75" t="inlineStr">
        <is>
          <t>055-329-4857</t>
        </is>
      </c>
      <c r="H75">
        <f>HYPERLINK("https://bizno.net/search?q=%EC%A3%BC%EC%8B%9C%ED%9A%8C%EC%82%AC%EB%A9%94%EB%A6%AC%ED%8A%B8", "비즈노 이동")</f>
        <v/>
      </c>
      <c r="I75">
        <f>HYPERLINK("https://map.naver.com/p/search/%EC%A3%BC%EC%8B%9C%ED%9A%8C%EC%82%AC%EB%A9%94%EB%A6%AC%ED%8A%B8%20%EA%B2%BD%EB%82%A8%20%EA%B9%80%ED%95%B4%EC%8B%9C%20%EC%82%BC%EB%AC%B8%EB%A1%9C", "네이버지도 이동")</f>
        <v/>
      </c>
      <c r="J75">
        <f>HYPERLINK("https://www.google.com/search?q=%EC%A3%BC%EC%8B%9C%ED%9A%8C%EC%82%AC%EB%A9%94%EB%A6%AC%ED%8A%B8%20%EA%B2%BD%EB%82%A8%20%EA%B9%80%ED%95%B4%EC%8B%9C%20%EC%82%BC%EB%AC%B8%EB%A1%9C+%EC%A0%84%ED%99%94%EB%B2%88%ED%98%B8", "구글검색 이동")</f>
        <v/>
      </c>
    </row>
    <row r="76">
      <c r="A76" t="n">
        <v>404</v>
      </c>
      <c r="B76" t="inlineStr">
        <is>
          <t>지브이코리아</t>
        </is>
      </c>
      <c r="C76" t="inlineStr">
        <is>
          <t>이춘규</t>
        </is>
      </c>
      <c r="D76" t="inlineStr">
        <is>
          <t>경남 김해시 진례면 하이테크로 21</t>
        </is>
      </c>
      <c r="E76" t="inlineStr">
        <is>
          <t>055-723-2269, 055-716-0710</t>
        </is>
      </c>
      <c r="F76" t="inlineStr">
        <is>
          <t>055-723-2269</t>
        </is>
      </c>
      <c r="G76" t="inlineStr">
        <is>
          <t>055-723-2269</t>
        </is>
      </c>
      <c r="H76">
        <f>HYPERLINK("https://bizno.net/search?q=%EC%A7%80%EB%B8%8C%EC%9D%B4%EC%BD%94%EB%A6%AC%EC%95%84", "비즈노 이동")</f>
        <v/>
      </c>
      <c r="I76">
        <f>HYPERLINK("https://map.naver.com/p/search/%EC%A7%80%EB%B8%8C%EC%9D%B4%EC%BD%94%EB%A6%AC%EC%95%84%20%EA%B2%BD%EB%82%A8%20%EA%B9%80%ED%95%B4%EC%8B%9C%20%EC%A7%84%EB%A1%80%EB%A9%B4", "네이버지도 이동")</f>
        <v/>
      </c>
      <c r="J76">
        <f>HYPERLINK("https://www.google.com/search?q=%EC%A7%80%EB%B8%8C%EC%9D%B4%EC%BD%94%EB%A6%AC%EC%95%84%20%EA%B2%BD%EB%82%A8%20%EA%B9%80%ED%95%B4%EC%8B%9C%20%EC%A7%84%EB%A1%80%EB%A9%B4+%EC%A0%84%ED%99%94%EB%B2%88%ED%98%B8", "구글검색 이동")</f>
        <v/>
      </c>
    </row>
    <row r="77">
      <c r="A77" t="n">
        <v>405</v>
      </c>
      <c r="B77" t="inlineStr">
        <is>
          <t>지에이씨피(주)</t>
        </is>
      </c>
      <c r="C77" t="inlineStr">
        <is>
          <t>이영예</t>
        </is>
      </c>
      <c r="D77" t="inlineStr">
        <is>
          <t>경남 창원시 의창구 사화로 210</t>
        </is>
      </c>
      <c r="E77" t="inlineStr">
        <is>
          <t>070-7868-1236, 055-268-9920</t>
        </is>
      </c>
      <c r="F77" t="inlineStr">
        <is>
          <t>070-7868-1236, 055-268-9920</t>
        </is>
      </c>
      <c r="G77" t="inlineStr">
        <is>
          <t>070-7868-1236, 055-268-9920</t>
        </is>
      </c>
      <c r="H77">
        <f>HYPERLINK("https://bizno.net/search?q=%EC%A7%80%EC%97%90%EC%9D%B4%EC%94%A8%ED%94%BC", "비즈노 이동")</f>
        <v/>
      </c>
      <c r="I77">
        <f>HYPERLINK("https://map.naver.com/p/search/%EC%A7%80%EC%97%90%EC%9D%B4%EC%94%A8%ED%94%BC%20%EA%B2%BD%EB%82%A8%20%EC%B0%BD%EC%9B%90%EC%8B%9C%20%EC%9D%98%EC%B0%BD%EA%B5%AC", "네이버지도 이동")</f>
        <v/>
      </c>
      <c r="J77">
        <f>HYPERLINK("https://www.google.com/search?q=%EC%A7%80%EC%97%90%EC%9D%B4%EC%94%A8%ED%94%BC%20%EA%B2%BD%EB%82%A8%20%EC%B0%BD%EC%9B%90%EC%8B%9C%20%EC%9D%98%EC%B0%BD%EA%B5%AC+%EC%A0%84%ED%99%94%EB%B2%88%ED%98%B8", "구글검색 이동")</f>
        <v/>
      </c>
    </row>
    <row r="78">
      <c r="A78" t="n">
        <v>406</v>
      </c>
      <c r="B78" t="inlineStr">
        <is>
          <t>청우기전(유)</t>
        </is>
      </c>
      <c r="C78" t="inlineStr">
        <is>
          <t>이상종</t>
        </is>
      </c>
      <c r="D78" t="inlineStr">
        <is>
          <t>경남 창원시 성산구 연덕로 171</t>
        </is>
      </c>
      <c r="E78" t="inlineStr">
        <is>
          <t>055-268-9920</t>
        </is>
      </c>
      <c r="F78" t="inlineStr">
        <is>
          <t>055-268-9920</t>
        </is>
      </c>
      <c r="G78" t="inlineStr">
        <is>
          <t>055-268-9920</t>
        </is>
      </c>
      <c r="H78">
        <f>HYPERLINK("https://bizno.net/search?q=%EC%B2%AD%EC%9A%B0%EA%B8%B0%EC%A0%84", "비즈노 이동")</f>
        <v/>
      </c>
      <c r="I78">
        <f>HYPERLINK("https://map.naver.com/p/search/%EC%B2%AD%EC%9A%B0%EA%B8%B0%EC%A0%84%20%EA%B2%BD%EB%82%A8%20%EC%B0%BD%EC%9B%90%EC%8B%9C%20%EC%84%B1%EC%82%B0%EA%B5%AC", "네이버지도 이동")</f>
        <v/>
      </c>
      <c r="J78">
        <f>HYPERLINK("https://www.google.com/search?q=%EC%B2%AD%EC%9A%B0%EA%B8%B0%EC%A0%84%20%EA%B2%BD%EB%82%A8%20%EC%B0%BD%EC%9B%90%EC%8B%9C%20%EC%84%B1%EC%82%B0%EA%B5%AC+%EC%A0%84%ED%99%94%EB%B2%88%ED%98%B8", "구글검색 이동")</f>
        <v/>
      </c>
    </row>
    <row r="79">
      <c r="A79" t="n">
        <v>407</v>
      </c>
      <c r="B79" t="inlineStr">
        <is>
          <t>청우서비스(주)</t>
        </is>
      </c>
      <c r="C79" t="inlineStr">
        <is>
          <t>김정옥</t>
        </is>
      </c>
      <c r="D79" t="inlineStr">
        <is>
          <t>경남 함안군 산인면 신산로 159-4</t>
        </is>
      </c>
      <c r="E79" t="inlineStr">
        <is>
          <t>055-584-2871, 055-252-4743</t>
        </is>
      </c>
      <c r="F79" t="inlineStr">
        <is>
          <t>055-584-2871, 055-252-4743</t>
        </is>
      </c>
      <c r="G79" t="inlineStr">
        <is>
          <t>055-584-2871, 055-252-4743</t>
        </is>
      </c>
      <c r="H79">
        <f>HYPERLINK("https://bizno.net/search?q=%EC%B2%AD%EC%9A%B0%EC%84%9C%EB%B9%84%EC%8A%A4", "비즈노 이동")</f>
        <v/>
      </c>
      <c r="I79">
        <f>HYPERLINK("https://map.naver.com/p/search/%EC%B2%AD%EC%9A%B0%EC%84%9C%EB%B9%84%EC%8A%A4%20%EA%B2%BD%EB%82%A8%20%ED%95%A8%EC%95%88%EA%B5%B0%20%EC%82%B0%EC%9D%B8%EB%A9%B4", "네이버지도 이동")</f>
        <v/>
      </c>
      <c r="J79">
        <f>HYPERLINK("https://www.google.com/search?q=%EC%B2%AD%EC%9A%B0%EC%84%9C%EB%B9%84%EC%8A%A4%20%EA%B2%BD%EB%82%A8%20%ED%95%A8%EC%95%88%EA%B5%B0%20%EC%82%B0%EC%9D%B8%EB%A9%B4+%EC%A0%84%ED%99%94%EB%B2%88%ED%98%B8", "구글검색 이동")</f>
        <v/>
      </c>
    </row>
    <row r="80">
      <c r="A80" t="n">
        <v>408</v>
      </c>
      <c r="B80" t="inlineStr">
        <is>
          <t>케이스물류(주)</t>
        </is>
      </c>
      <c r="C80" t="inlineStr">
        <is>
          <t>김진현</t>
        </is>
      </c>
      <c r="D80" t="inlineStr">
        <is>
          <t>경남 창녕군 영산면 열무고개길 22</t>
        </is>
      </c>
      <c r="E80" t="inlineStr">
        <is>
          <t>055-521-1400, 055-536-3672</t>
        </is>
      </c>
      <c r="F80" t="inlineStr">
        <is>
          <t>055-521-1400, 055-536-3672</t>
        </is>
      </c>
      <c r="G80" t="inlineStr">
        <is>
          <t>055-521-1400, 055-536-3672</t>
        </is>
      </c>
      <c r="H80">
        <f>HYPERLINK("https://bizno.net/search?q=%EC%BC%80%EC%9D%B4%EC%8A%A4%EB%AC%BC%EB%A5%98", "비즈노 이동")</f>
        <v/>
      </c>
      <c r="I80">
        <f>HYPERLINK("https://map.naver.com/p/search/%EC%BC%80%EC%9D%B4%EC%8A%A4%EB%AC%BC%EB%A5%98%20%EA%B2%BD%EB%82%A8%20%EC%B0%BD%EB%85%95%EA%B5%B0%20%EC%98%81%EC%82%B0%EB%A9%B4", "네이버지도 이동")</f>
        <v/>
      </c>
      <c r="J80">
        <f>HYPERLINK("https://www.google.com/search?q=%EC%BC%80%EC%9D%B4%EC%8A%A4%EB%AC%BC%EB%A5%98%20%EA%B2%BD%EB%82%A8%20%EC%B0%BD%EB%85%95%EA%B5%B0%20%EC%98%81%EC%82%B0%EB%A9%B4+%EC%A0%84%ED%99%94%EB%B2%88%ED%98%B8", "구글검색 이동")</f>
        <v/>
      </c>
    </row>
    <row r="81">
      <c r="A81" t="n">
        <v>409</v>
      </c>
      <c r="B81" t="inlineStr">
        <is>
          <t>태건산업(주)</t>
        </is>
      </c>
      <c r="C81" t="inlineStr">
        <is>
          <t>조의순</t>
        </is>
      </c>
      <c r="D81" t="inlineStr">
        <is>
          <t>경남 함안군 산인면 학산1길 9</t>
        </is>
      </c>
      <c r="E81" t="inlineStr">
        <is>
          <t>055-582-1009, 055-582-1309</t>
        </is>
      </c>
      <c r="F81" t="inlineStr">
        <is>
          <t>055-582-1009, 055-582-1309</t>
        </is>
      </c>
      <c r="G81" t="inlineStr">
        <is>
          <t>055-582-1009, 055-582-1309</t>
        </is>
      </c>
      <c r="H81">
        <f>HYPERLINK("https://bizno.net/search?q=%ED%83%9C%EA%B1%B4%EC%82%B0%EC%97%85", "비즈노 이동")</f>
        <v/>
      </c>
      <c r="I81">
        <f>HYPERLINK("https://map.naver.com/p/search/%ED%83%9C%EA%B1%B4%EC%82%B0%EC%97%85%20%EA%B2%BD%EB%82%A8%20%ED%95%A8%EC%95%88%EA%B5%B0%20%EC%82%B0%EC%9D%B8%EB%A9%B4", "네이버지도 이동")</f>
        <v/>
      </c>
      <c r="J81">
        <f>HYPERLINK("https://www.google.com/search?q=%ED%83%9C%EA%B1%B4%EC%82%B0%EC%97%85%20%EA%B2%BD%EB%82%A8%20%ED%95%A8%EC%95%88%EA%B5%B0%20%EC%82%B0%EC%9D%B8%EB%A9%B4+%EC%A0%84%ED%99%94%EB%B2%88%ED%98%B8", "구글검색 이동")</f>
        <v/>
      </c>
    </row>
    <row r="82">
      <c r="A82" t="n">
        <v>410</v>
      </c>
      <c r="B82" t="inlineStr">
        <is>
          <t>태영에스티(주)</t>
        </is>
      </c>
      <c r="C82" t="inlineStr">
        <is>
          <t>윤현승</t>
        </is>
      </c>
      <c r="D82" t="inlineStr">
        <is>
          <t>경남 밀양시 삼랑진읍 미율로 329-9</t>
        </is>
      </c>
      <c r="E82" t="inlineStr">
        <is>
          <t>070-4333-0961</t>
        </is>
      </c>
      <c r="F82" t="inlineStr">
        <is>
          <t>070-4333-0961</t>
        </is>
      </c>
      <c r="G82" t="inlineStr">
        <is>
          <t>070-4333-0961</t>
        </is>
      </c>
      <c r="H82">
        <f>HYPERLINK("https://bizno.net/search?q=%ED%83%9C%EC%98%81%EC%97%90%EC%8A%A4%ED%8B%B0", "비즈노 이동")</f>
        <v/>
      </c>
      <c r="I82">
        <f>HYPERLINK("https://map.naver.com/p/search/%ED%83%9C%EC%98%81%EC%97%90%EC%8A%A4%ED%8B%B0%20%EA%B2%BD%EB%82%A8%20%EB%B0%80%EC%96%91%EC%8B%9C%20%EC%82%BC%EB%9E%91%EC%A7%84%EC%9D%8D", "네이버지도 이동")</f>
        <v/>
      </c>
      <c r="J82">
        <f>HYPERLINK("https://www.google.com/search?q=%ED%83%9C%EC%98%81%EC%97%90%EC%8A%A4%ED%8B%B0%20%EA%B2%BD%EB%82%A8%20%EB%B0%80%EC%96%91%EC%8B%9C%20%EC%82%BC%EB%9E%91%EC%A7%84%EC%9D%8D+%EC%A0%84%ED%99%94%EB%B2%88%ED%98%B8", "구글검색 이동")</f>
        <v/>
      </c>
    </row>
    <row r="83">
      <c r="A83" t="n">
        <v>411</v>
      </c>
      <c r="B83" t="inlineStr">
        <is>
          <t>파크이앤지(주)</t>
        </is>
      </c>
      <c r="C83" t="inlineStr">
        <is>
          <t>이성민</t>
        </is>
      </c>
      <c r="D83" t="inlineStr">
        <is>
          <t>경남 김해시 진례면 서부로 909-43</t>
        </is>
      </c>
      <c r="E83" t="inlineStr">
        <is>
          <t>055-346-0350, 055-342-9222</t>
        </is>
      </c>
      <c r="F83" t="inlineStr">
        <is>
          <t>055-346-0350, 055-342-9222</t>
        </is>
      </c>
      <c r="G83" t="inlineStr">
        <is>
          <t>055-346-0350, 055-342-9222</t>
        </is>
      </c>
      <c r="H83">
        <f>HYPERLINK("https://bizno.net/search?q=%ED%8C%8C%ED%81%AC%EC%9D%B4%EC%95%A4%EC%A7%80", "비즈노 이동")</f>
        <v/>
      </c>
      <c r="I83">
        <f>HYPERLINK("https://map.naver.com/p/search/%ED%8C%8C%ED%81%AC%EC%9D%B4%EC%95%A4%EC%A7%80%20%EA%B2%BD%EB%82%A8%20%EA%B9%80%ED%95%B4%EC%8B%9C%20%EC%A7%84%EB%A1%80%EB%A9%B4", "네이버지도 이동")</f>
        <v/>
      </c>
      <c r="J83">
        <f>HYPERLINK("https://www.google.com/search?q=%ED%8C%8C%ED%81%AC%EC%9D%B4%EC%95%A4%EC%A7%80%20%EA%B2%BD%EB%82%A8%20%EA%B9%80%ED%95%B4%EC%8B%9C%20%EC%A7%84%EB%A1%80%EB%A9%B4+%EC%A0%84%ED%99%94%EB%B2%88%ED%98%B8", "구글검색 이동")</f>
        <v/>
      </c>
    </row>
    <row r="84">
      <c r="A84" t="n">
        <v>412</v>
      </c>
      <c r="B84" t="inlineStr">
        <is>
          <t>하성테크(주)</t>
        </is>
      </c>
      <c r="C84" t="inlineStr">
        <is>
          <t>권경호</t>
        </is>
      </c>
      <c r="D84" t="inlineStr">
        <is>
          <t>경남 창원시 마산회원구 양덕서로 30, 115동 801호</t>
        </is>
      </c>
      <c r="E84" t="inlineStr">
        <is>
          <t>없음</t>
        </is>
      </c>
      <c r="F84" t="inlineStr">
        <is>
          <t>없음</t>
        </is>
      </c>
      <c r="G84" t="inlineStr">
        <is>
          <t>확인불가/없음</t>
        </is>
      </c>
      <c r="H84">
        <f>HYPERLINK("https://bizno.net/search?q=%ED%95%98%EC%84%B1%ED%85%8C%ED%81%AC", "비즈노 이동")</f>
        <v/>
      </c>
      <c r="I84">
        <f>HYPERLINK("https://map.naver.com/p/search/%ED%95%98%EC%84%B1%ED%85%8C%ED%81%AC%20%EA%B2%BD%EB%82%A8%20%EC%B0%BD%EC%9B%90%EC%8B%9C%20%EB%A7%88%EC%82%B0%ED%9A%8C%EC%9B%90%EA%B5%AC", "네이버지도 이동")</f>
        <v/>
      </c>
      <c r="J84">
        <f>HYPERLINK("https://www.google.com/search?q=%ED%95%98%EC%84%B1%ED%85%8C%ED%81%AC%20%EA%B2%BD%EB%82%A8%20%EC%B0%BD%EC%9B%90%EC%8B%9C%20%EB%A7%88%EC%82%B0%ED%9A%8C%EC%9B%90%EA%B5%AC+%EC%A0%84%ED%99%94%EB%B2%88%ED%98%B8", "구글검색 이동")</f>
        <v/>
      </c>
    </row>
    <row r="85">
      <c r="A85" t="n">
        <v>413</v>
      </c>
      <c r="B85" t="inlineStr">
        <is>
          <t>함안목재</t>
        </is>
      </c>
      <c r="C85" t="inlineStr">
        <is>
          <t>조다연</t>
        </is>
      </c>
      <c r="D85" t="inlineStr">
        <is>
          <t>경남 함안군 산인면 학산2길 3-60</t>
        </is>
      </c>
      <c r="E85" t="inlineStr">
        <is>
          <t>055-582-3030</t>
        </is>
      </c>
      <c r="F85" t="inlineStr">
        <is>
          <t>055-582-3030</t>
        </is>
      </c>
      <c r="G85" t="inlineStr">
        <is>
          <t>055-582-3030</t>
        </is>
      </c>
      <c r="H85">
        <f>HYPERLINK("https://bizno.net/search?q=%ED%95%A8%EC%95%88%EB%AA%A9%EC%9E%AC", "비즈노 이동")</f>
        <v/>
      </c>
      <c r="I85">
        <f>HYPERLINK("https://map.naver.com/p/search/%ED%95%A8%EC%95%88%EB%AA%A9%EC%9E%AC%20%EA%B2%BD%EB%82%A8%20%ED%95%A8%EC%95%88%EA%B5%B0%20%EC%82%B0%EC%9D%B8%EB%A9%B4", "네이버지도 이동")</f>
        <v/>
      </c>
      <c r="J85">
        <f>HYPERLINK("https://www.google.com/search?q=%ED%95%A8%EC%95%88%EB%AA%A9%EC%9E%AC%20%EA%B2%BD%EB%82%A8%20%ED%95%A8%EC%95%88%EA%B5%B0%20%EC%82%B0%EC%9D%B8%EB%A9%B4+%EC%A0%84%ED%99%94%EB%B2%88%ED%98%B8", "구글검색 이동")</f>
        <v/>
      </c>
    </row>
    <row r="86">
      <c r="A86" t="n">
        <v>414</v>
      </c>
      <c r="B86" t="inlineStr">
        <is>
          <t>항도파일(주)</t>
        </is>
      </c>
      <c r="C86" t="inlineStr">
        <is>
          <t>최주영</t>
        </is>
      </c>
      <c r="D86" t="inlineStr">
        <is>
          <t>경남 창원시 진해구 용원북로 19</t>
        </is>
      </c>
      <c r="E86" t="inlineStr">
        <is>
          <t>055-602-9111</t>
        </is>
      </c>
      <c r="F86" t="inlineStr">
        <is>
          <t>055-602-9111</t>
        </is>
      </c>
      <c r="G86" t="inlineStr">
        <is>
          <t>055-602-9111</t>
        </is>
      </c>
      <c r="H86">
        <f>HYPERLINK("https://bizno.net/search?q=%ED%95%AD%EB%8F%84%ED%8C%8C%EC%9D%BC", "비즈노 이동")</f>
        <v/>
      </c>
      <c r="I86">
        <f>HYPERLINK("https://map.naver.com/p/search/%ED%95%AD%EB%8F%84%ED%8C%8C%EC%9D%BC%20%EA%B2%BD%EB%82%A8%20%EC%B0%BD%EC%9B%90%EC%8B%9C%20%EC%A7%84%ED%95%B4%EA%B5%AC", "네이버지도 이동")</f>
        <v/>
      </c>
      <c r="J86">
        <f>HYPERLINK("https://www.google.com/search?q=%ED%95%AD%EB%8F%84%ED%8C%8C%EC%9D%BC%20%EA%B2%BD%EB%82%A8%20%EC%B0%BD%EC%9B%90%EC%8B%9C%20%EC%A7%84%ED%95%B4%EA%B5%AC+%EC%A0%84%ED%99%94%EB%B2%88%ED%98%B8", "구글검색 이동")</f>
        <v/>
      </c>
    </row>
    <row r="87">
      <c r="A87" t="n">
        <v>415</v>
      </c>
      <c r="B87" t="inlineStr">
        <is>
          <t>해성에프앤에스어업회사법인(주)</t>
        </is>
      </c>
      <c r="C87" t="inlineStr">
        <is>
          <t>이광술</t>
        </is>
      </c>
      <c r="D87" t="inlineStr">
        <is>
          <t>경남 거제시 사등면 가조서로 93-19</t>
        </is>
      </c>
      <c r="E87" t="inlineStr">
        <is>
          <t>055-640-7200, 055-644-1133</t>
        </is>
      </c>
      <c r="F87" t="inlineStr">
        <is>
          <t>055-640-7200, 055-644-1133</t>
        </is>
      </c>
      <c r="G87" t="inlineStr">
        <is>
          <t>055-640-7200, 055-644-1133</t>
        </is>
      </c>
      <c r="H87">
        <f>HYPERLINK("https://bizno.net/search?q=%ED%95%B4%EC%84%B1%EC%97%90%ED%94%84%EC%95%A4%EC%97%90%EC%8A%A4%EC%96%B4%EC%97%85%ED%9A%8C%EC%82%AC%EB%B2%95%EC%9D%B8", "비즈노 이동")</f>
        <v/>
      </c>
      <c r="I87">
        <f>HYPERLINK("https://map.naver.com/p/search/%ED%95%B4%EC%84%B1%EC%97%90%ED%94%84%EC%95%A4%EC%97%90%EC%8A%A4%EC%96%B4%EC%97%85%ED%9A%8C%EC%82%AC%EB%B2%95%EC%9D%B8%20%EA%B2%BD%EB%82%A8%20%EA%B1%B0%EC%A0%9C%EC%8B%9C%20%EC%82%AC%EB%93%B1%EB%A9%B4", "네이버지도 이동")</f>
        <v/>
      </c>
      <c r="J87">
        <f>HYPERLINK("https://www.google.com/search?q=%ED%95%B4%EC%84%B1%EC%97%90%ED%94%84%EC%95%A4%EC%97%90%EC%8A%A4%EC%96%B4%EC%97%85%ED%9A%8C%EC%82%AC%EB%B2%95%EC%9D%B8%20%EA%B2%BD%EB%82%A8%20%EA%B1%B0%EC%A0%9C%EC%8B%9C%20%EC%82%AC%EB%93%B1%EB%A9%B4+%EC%A0%84%ED%99%94%EB%B2%88%ED%98%B8", "구글검색 이동")</f>
        <v/>
      </c>
    </row>
    <row r="88">
      <c r="A88" t="n">
        <v>416</v>
      </c>
      <c r="B88" t="inlineStr">
        <is>
          <t>화인텍</t>
        </is>
      </c>
      <c r="C88" t="inlineStr">
        <is>
          <t>송준민</t>
        </is>
      </c>
      <c r="D88" t="inlineStr">
        <is>
          <t>경남 창원시 성산구 정동로62번길 30</t>
        </is>
      </c>
      <c r="E88" t="inlineStr">
        <is>
          <t>055-284-8661, 070-7450-1749</t>
        </is>
      </c>
      <c r="F88" t="inlineStr">
        <is>
          <t>055-284-8661, 070-7450-1749, 055-286-1672</t>
        </is>
      </c>
      <c r="G88" t="inlineStr">
        <is>
          <t>055-284-8661, 070-7450-1749</t>
        </is>
      </c>
      <c r="H88">
        <f>HYPERLINK("https://bizno.net/search?q=%ED%99%94%EC%9D%B8%ED%85%8D", "비즈노 이동")</f>
        <v/>
      </c>
      <c r="I88">
        <f>HYPERLINK("https://map.naver.com/p/search/%ED%99%94%EC%9D%B8%ED%85%8D%20%EA%B2%BD%EB%82%A8%20%EC%B0%BD%EC%9B%90%EC%8B%9C%20%EC%84%B1%EC%82%B0%EA%B5%AC", "네이버지도 이동")</f>
        <v/>
      </c>
      <c r="J88">
        <f>HYPERLINK("https://www.google.com/search?q=%ED%99%94%EC%9D%B8%ED%85%8D%20%EA%B2%BD%EB%82%A8%20%EC%B0%BD%EC%9B%90%EC%8B%9C%20%EC%84%B1%EC%82%B0%EA%B5%AC+%EC%A0%84%ED%99%94%EB%B2%88%ED%98%B8", "구글검색 이동")</f>
        <v/>
      </c>
    </row>
    <row r="89">
      <c r="A89" t="n">
        <v>417</v>
      </c>
      <c r="B89" t="inlineStr">
        <is>
          <t>휴먼디펜스</t>
        </is>
      </c>
      <c r="C89" t="inlineStr">
        <is>
          <t>이재환</t>
        </is>
      </c>
      <c r="D89" t="inlineStr">
        <is>
          <t>경남 창원시 의창구 창원대로18번길 22, 시험생산동 204호</t>
        </is>
      </c>
      <c r="E89" t="inlineStr">
        <is>
          <t>070-7351-9154</t>
        </is>
      </c>
      <c r="F89" t="inlineStr">
        <is>
          <t>070-7351-9154</t>
        </is>
      </c>
      <c r="G89" t="inlineStr">
        <is>
          <t>070-7351-9154</t>
        </is>
      </c>
      <c r="H89">
        <f>HYPERLINK("https://bizno.net/search?q=%ED%9C%B4%EB%A8%BC%EB%94%94%ED%8E%9C%EC%8A%A4", "비즈노 이동")</f>
        <v/>
      </c>
      <c r="I89">
        <f>HYPERLINK("https://map.naver.com/p/search/%ED%9C%B4%EB%A8%BC%EB%94%94%ED%8E%9C%EC%8A%A4%20%EA%B2%BD%EB%82%A8%20%EC%B0%BD%EC%9B%90%EC%8B%9C%20%EC%9D%98%EC%B0%BD%EA%B5%AC", "네이버지도 이동")</f>
        <v/>
      </c>
      <c r="J89">
        <f>HYPERLINK("https://www.google.com/search?q=%ED%9C%B4%EB%A8%BC%EB%94%94%ED%8E%9C%EC%8A%A4%20%EA%B2%BD%EB%82%A8%20%EC%B0%BD%EC%9B%90%EC%8B%9C%20%EC%9D%98%EC%B0%BD%EA%B5%AC+%EC%A0%84%ED%99%94%EB%B2%88%ED%98%B8", "구글검색 이동")</f>
        <v/>
      </c>
    </row>
    <row r="90">
      <c r="A90" t="n">
        <v>418</v>
      </c>
      <c r="B90" t="inlineStr">
        <is>
          <t>흥성(주)</t>
        </is>
      </c>
      <c r="C90" t="inlineStr">
        <is>
          <t>곽중근</t>
        </is>
      </c>
      <c r="D90" t="inlineStr">
        <is>
          <t>경남 진주시 솔밭로44번길 10</t>
        </is>
      </c>
      <c r="E90" t="inlineStr">
        <is>
          <t>055-762-0674, 055-758-3165</t>
        </is>
      </c>
      <c r="F90" t="inlineStr">
        <is>
          <t>055-762-0674, 055-758-3165</t>
        </is>
      </c>
      <c r="G90" t="inlineStr">
        <is>
          <t>055-762-0674, 055-758-3165</t>
        </is>
      </c>
      <c r="H90">
        <f>HYPERLINK("https://bizno.net/search?q=%ED%9D%A5%EC%84%B1", "비즈노 이동")</f>
        <v/>
      </c>
      <c r="I90">
        <f>HYPERLINK("https://map.naver.com/p/search/%ED%9D%A5%EC%84%B1%20%EA%B2%BD%EB%82%A8%20%EC%A7%84%EC%A3%BC%EC%8B%9C%20%EC%86%94%EB%B0%AD%EB%A1%9C44%EB%B2%88%EA%B8%B8", "네이버지도 이동")</f>
        <v/>
      </c>
      <c r="J90">
        <f>HYPERLINK("https://www.google.com/search?q=%ED%9D%A5%EC%84%B1%20%EA%B2%BD%EB%82%A8%20%EC%A7%84%EC%A3%BC%EC%8B%9C%20%EC%86%94%EB%B0%AD%EB%A1%9C44%EB%B2%88%EA%B8%B8+%EC%A0%84%ED%99%94%EB%B2%88%ED%98%B8", "구글검색 이동")</f>
        <v/>
      </c>
    </row>
    <row r="91">
      <c r="A91" t="n">
        <v>419</v>
      </c>
      <c r="B91" t="inlineStr">
        <is>
          <t>주식회사 한화엔지니어링</t>
        </is>
      </c>
      <c r="C91" t="inlineStr">
        <is>
          <t>권춘일</t>
        </is>
      </c>
      <c r="D91" t="inlineStr">
        <is>
          <t>경남 양산시 상북면 상북중앙로 315-5</t>
        </is>
      </c>
      <c r="E91" t="inlineStr">
        <is>
          <t>없음</t>
        </is>
      </c>
      <c r="F91" t="inlineStr">
        <is>
          <t>없음</t>
        </is>
      </c>
      <c r="G91" t="inlineStr">
        <is>
          <t>확인불가/없음</t>
        </is>
      </c>
      <c r="H91">
        <f>HYPERLINK("https://bizno.net/search?q=%ED%95%9C%ED%99%94%EC%97%94%EC%A7%80%EB%8B%88%EC%96%B4%EB%A7%81", "비즈노 이동")</f>
        <v/>
      </c>
      <c r="I91">
        <f>HYPERLINK("https://map.naver.com/p/search/%ED%95%9C%ED%99%94%EC%97%94%EC%A7%80%EB%8B%88%EC%96%B4%EB%A7%81%20%EA%B2%BD%EB%82%A8%20%EC%96%91%EC%82%B0%EC%8B%9C%20%EC%83%81%EB%B6%81%EB%A9%B4", "네이버지도 이동")</f>
        <v/>
      </c>
      <c r="J91">
        <f>HYPERLINK("https://www.google.com/search?q=%ED%95%9C%ED%99%94%EC%97%94%EC%A7%80%EB%8B%88%EC%96%B4%EB%A7%81%20%EA%B2%BD%EB%82%A8%20%EC%96%91%EC%82%B0%EC%8B%9C%20%EC%83%81%EB%B6%81%EB%A9%B4+%EC%A0%84%ED%99%94%EB%B2%88%ED%98%B8", "구글검색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2026-07-31T13:18:23Z</dcterms:created>
  <dcterms:modified xmlns:dcterms="http://purl.org/dc/terms/" xmlns:xsi="http://www.w3.org/2001/XMLSchema-instance" xsi:type="dcterms:W3CDTF">2026-07-31T13:18:23Z</dcterms:modified>
</cp:coreProperties>
</file>